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PHONG DAO TAO\PHU TROI\PHU TROI SQKTQS -mở khóa\PHU TROI - GUI KHOA\"/>
    </mc:Choice>
  </mc:AlternateContent>
  <xr:revisionPtr revIDLastSave="0" documentId="13_ncr:1_{F19224C0-D762-4E41-9C47-5ECF3183C571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Kangatang" sheetId="4" state="veryHidden" r:id="rId1"/>
    <sheet name="Ca nhan" sheetId="3" r:id="rId2"/>
    <sheet name="Quy doi" sheetId="5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40" i="3" l="1"/>
  <c r="R39" i="3"/>
  <c r="R38" i="3"/>
  <c r="R37" i="3"/>
  <c r="R36" i="3"/>
  <c r="R35" i="3"/>
  <c r="R34" i="3"/>
  <c r="J40" i="3"/>
  <c r="J39" i="3"/>
  <c r="J38" i="3"/>
  <c r="J37" i="3"/>
  <c r="J36" i="3"/>
  <c r="J35" i="3"/>
  <c r="J34" i="3"/>
  <c r="R59" i="3"/>
  <c r="J31" i="3"/>
  <c r="R31" i="3" s="1"/>
  <c r="J32" i="3"/>
  <c r="R32" i="3" s="1"/>
  <c r="J33" i="3"/>
  <c r="R33" i="3" s="1"/>
  <c r="R41" i="3"/>
  <c r="M49" i="3"/>
  <c r="J49" i="3"/>
  <c r="I49" i="3"/>
  <c r="P48" i="3"/>
  <c r="P47" i="3"/>
  <c r="O56" i="3"/>
  <c r="O55" i="3"/>
  <c r="O54" i="3"/>
  <c r="O53" i="3"/>
  <c r="J41" i="3"/>
  <c r="E5" i="3"/>
  <c r="H59" i="3" s="1"/>
  <c r="J57" i="3"/>
  <c r="Q22" i="3"/>
  <c r="R22" i="3"/>
  <c r="Q23" i="3"/>
  <c r="R23" i="3"/>
  <c r="Q24" i="3"/>
  <c r="R24" i="3"/>
  <c r="Q25" i="3"/>
  <c r="R25" i="3"/>
  <c r="Q26" i="3"/>
  <c r="R26" i="3"/>
  <c r="P27" i="3"/>
  <c r="O27" i="3"/>
  <c r="L27" i="3"/>
  <c r="K27" i="3"/>
  <c r="I27" i="3"/>
  <c r="H27" i="3"/>
  <c r="G27" i="3"/>
  <c r="F27" i="3"/>
  <c r="E27" i="3"/>
  <c r="R21" i="3"/>
  <c r="Q21" i="3"/>
  <c r="R20" i="3"/>
  <c r="Q20" i="3"/>
  <c r="R19" i="3"/>
  <c r="Q19" i="3"/>
  <c r="R18" i="3"/>
  <c r="Q18" i="3"/>
  <c r="R17" i="3"/>
  <c r="Q17" i="3"/>
  <c r="R16" i="3"/>
  <c r="Q16" i="3"/>
  <c r="R15" i="3"/>
  <c r="Q15" i="3"/>
  <c r="R14" i="3"/>
  <c r="Q14" i="3"/>
  <c r="R13" i="3"/>
  <c r="Q13" i="3"/>
  <c r="R12" i="3"/>
  <c r="Q12" i="3"/>
  <c r="P49" i="3" l="1"/>
  <c r="O57" i="3"/>
  <c r="Q27" i="3"/>
  <c r="R27" i="3"/>
  <c r="H60" i="3" s="1"/>
  <c r="H61" i="3" l="1"/>
  <c r="J42" i="3" l="1"/>
  <c r="R42" i="3" l="1"/>
  <c r="R60" i="3" s="1"/>
  <c r="H62" i="3" s="1"/>
  <c r="R61" i="3" l="1"/>
</calcChain>
</file>

<file path=xl/sharedStrings.xml><?xml version="1.0" encoding="utf-8"?>
<sst xmlns="http://schemas.openxmlformats.org/spreadsheetml/2006/main" count="196" uniqueCount="171">
  <si>
    <t>(Mẫu 01)</t>
  </si>
  <si>
    <t>BẢNG THỐNG KÊ GIỜ CHUẨN VƯỢT ĐỊNH MỨC CÁ NHÂN</t>
  </si>
  <si>
    <t>Bộ môn:</t>
  </si>
  <si>
    <t>….</t>
  </si>
  <si>
    <t>Họ tên nhà giáo:</t>
  </si>
  <si>
    <t>Chức vụ:</t>
  </si>
  <si>
    <t>Phó Hiệu trưởng</t>
  </si>
  <si>
    <t xml:space="preserve">Định mức giờ chuẩn giảng dạy: </t>
  </si>
  <si>
    <t>1. Quy đổi giờ chuẩn giảng dạy đã thực hiện</t>
  </si>
  <si>
    <t xml:space="preserve">Lớp
</t>
  </si>
  <si>
    <t>Quân số</t>
  </si>
  <si>
    <t>Môn học, 
Nội dung</t>
  </si>
  <si>
    <t>Số tiết tham gia giảng dạy</t>
  </si>
  <si>
    <t>Kiểm tra định kỳ</t>
  </si>
  <si>
    <t>Thi kết thúc học phần</t>
  </si>
  <si>
    <t>Tổng số tiết giảng dạy</t>
  </si>
  <si>
    <t>Số giờ chuẩn quy đổi</t>
  </si>
  <si>
    <t>Ghi chú
(Ghi số
 tờ trong 
TKB, Số KH)</t>
  </si>
  <si>
    <t>Lý thuyết, thực hành, thí nghiệm, hướng dẫn tập bài</t>
  </si>
  <si>
    <t>Lái xe TTG, xe QS; TH chiến thuật, DT bắn đạn thật; tiếng nước ngoài*</t>
  </si>
  <si>
    <t>Hình thức kiểm tra</t>
  </si>
  <si>
    <t>Số lượng đề kiểm tra</t>
  </si>
  <si>
    <t>Số tiết kiểm tra</t>
  </si>
  <si>
    <t>Biên soạn, hiệu chỉnh</t>
  </si>
  <si>
    <t>Hình thức thi</t>
  </si>
  <si>
    <t>Số lượng đề thi</t>
  </si>
  <si>
    <t>Số tiết coi thi</t>
  </si>
  <si>
    <t>Giảng đường</t>
  </si>
  <si>
    <t>Xưởng TH, thao trường</t>
  </si>
  <si>
    <t>Ngày</t>
  </si>
  <si>
    <t>Đêm</t>
  </si>
  <si>
    <t>26SQTL36151</t>
  </si>
  <si>
    <t>LTTG</t>
  </si>
  <si>
    <t>KH/QĐ số…</t>
  </si>
  <si>
    <t>17DQS07111</t>
  </si>
  <si>
    <t>D06VKBB</t>
  </si>
  <si>
    <t>Tờ …/HK1</t>
  </si>
  <si>
    <t>Diễn tập</t>
  </si>
  <si>
    <t>KH số…</t>
  </si>
  <si>
    <t>TỔNG</t>
  </si>
  <si>
    <t>* Giảng dạy bằng tiếng nước ngoài cho môn học không phải môn ngoại ngữ.</t>
  </si>
  <si>
    <t>2. Quy đổi giờ chuẩn NCKH đã thực hiện</t>
  </si>
  <si>
    <t>Sản phẩm khoa học</t>
  </si>
  <si>
    <t>Tên sản phẩm khoa học</t>
  </si>
  <si>
    <t>Cấp</t>
  </si>
  <si>
    <t>Số giờ hành chính thực hiện sản phẩm</t>
  </si>
  <si>
    <t>Số năm thực hiện</t>
  </si>
  <si>
    <t>Mức đánh giá</t>
  </si>
  <si>
    <t>Chức vụ</t>
  </si>
  <si>
    <t>Số lượng thành viên</t>
  </si>
  <si>
    <t>Tỷ lệ đóng góp (%)</t>
  </si>
  <si>
    <t>Ghi chú</t>
  </si>
  <si>
    <t>TỔNG CỘNG</t>
  </si>
  <si>
    <t>Chức năng của Hội đồng</t>
  </si>
  <si>
    <t>Số lần tham gia</t>
  </si>
  <si>
    <t>- Định mức giờ chuẩn giảng dạy:</t>
  </si>
  <si>
    <t>- Định mức giờ chuẩn nghiên cứu khoa học:</t>
  </si>
  <si>
    <t>- Số giờ chuẩn giảng dạy đã thực hiện:</t>
  </si>
  <si>
    <t>- Số giờ chuẩn nghiên cứu khoa học đã thực hiện:</t>
  </si>
  <si>
    <t>- Số giờ chuẩn giảng dạy vượt định mức:</t>
  </si>
  <si>
    <t>- Số giờ chuẩn nghiên cứu khoa học còn thiếu:</t>
  </si>
  <si>
    <t>- Số giờ chuẩn giảng dạy vượt định mức sau khi bù NCKH:</t>
  </si>
  <si>
    <t>Hiệu trưởng</t>
  </si>
  <si>
    <t>Chính ủy</t>
  </si>
  <si>
    <t>Phó Chính ủy</t>
  </si>
  <si>
    <t>Xét duyệt đề cương đề tài, sáng kiến, giáo trình, tài liệu</t>
  </si>
  <si>
    <t>Nghiệm thu đề tài, sáng kiến, giáo trình, tài liệu</t>
  </si>
  <si>
    <t>Trưởng phòng</t>
  </si>
  <si>
    <t>Phó Trưởng phòng</t>
  </si>
  <si>
    <t>Trưởng ban trực thuộc Nhà trường</t>
  </si>
  <si>
    <t>Chủ nhiệm khoa</t>
  </si>
  <si>
    <t>Chủ nhiệm khoa - BTCB</t>
  </si>
  <si>
    <t>Chủ nhiệm khoa - Phó BTCB</t>
  </si>
  <si>
    <t>Phó Chủ nhiệm khoa</t>
  </si>
  <si>
    <t>Phó Chủ nhiệm khoa - BTCB</t>
  </si>
  <si>
    <t>Phó Chủ nhiệm khoa - Phó BTCB</t>
  </si>
  <si>
    <t>Trưởng Bộ môn</t>
  </si>
  <si>
    <t>Trưởng Bộ môn - BTCB</t>
  </si>
  <si>
    <t>Trưởng Bộ môn - Phó BTCB</t>
  </si>
  <si>
    <t>Giảng viên</t>
  </si>
  <si>
    <t>Giảng viên kiêm Trợ lý kỹ thuật</t>
  </si>
  <si>
    <t>Giảng viên kiêm Trợ lý huấn luyện</t>
  </si>
  <si>
    <t>Giảng viên kiêm Trợ lý Huấn luyện &amp; Kỹ thuật</t>
  </si>
  <si>
    <t>Sáng kiến</t>
  </si>
  <si>
    <t>Thượng tá Nguyễn Văn B</t>
  </si>
  <si>
    <t>Thiếu tá Nguyễn Văn C</t>
  </si>
  <si>
    <r>
      <t xml:space="preserve">Số tháng </t>
    </r>
    <r>
      <rPr>
        <b/>
        <sz val="13"/>
        <color theme="1"/>
        <rFont val="Times New Roman"/>
        <family val="1"/>
      </rPr>
      <t>không</t>
    </r>
    <r>
      <rPr>
        <sz val="13"/>
        <color theme="1"/>
        <rFont val="Times New Roman"/>
        <family val="1"/>
      </rPr>
      <t xml:space="preserve"> công tác tại khoa:</t>
    </r>
  </si>
  <si>
    <t>Nhà trường</t>
  </si>
  <si>
    <t>Tham gia hội nghị, hội thảo khoa học cấp trường</t>
  </si>
  <si>
    <t>Tham gia hội nghị, hội thảo khoa học cấp khoa</t>
  </si>
  <si>
    <t>Tham gia</t>
  </si>
  <si>
    <t>Bài báo KH</t>
  </si>
  <si>
    <t>Tỷ lệ GD</t>
  </si>
  <si>
    <t>Định mức GD</t>
  </si>
  <si>
    <t>CBQL/QNCN được giao giảng viên kiêm nhiệm</t>
  </si>
  <si>
    <t>Giảng viên quản lý 1 phòng/xưởng</t>
  </si>
  <si>
    <t>Giảng viên quản lý nhiều phòng/xưởng</t>
  </si>
  <si>
    <t>Loại sản phẩm</t>
  </si>
  <si>
    <t>Cấp/danh mục</t>
  </si>
  <si>
    <t>Đề tài</t>
  </si>
  <si>
    <t>Khoa</t>
  </si>
  <si>
    <t>Sáng kiến tự bảo đảm</t>
  </si>
  <si>
    <t>BTTM/TCCT/Tổng cục</t>
  </si>
  <si>
    <t>Quốc gia</t>
  </si>
  <si>
    <t>Quốc tế</t>
  </si>
  <si>
    <t>ISSN</t>
  </si>
  <si>
    <t>HĐGSNN</t>
  </si>
  <si>
    <t>Báo cáo KH</t>
  </si>
  <si>
    <t>Tỉnh (Thành phố)/Bộ</t>
  </si>
  <si>
    <t>Giáo trình, tài liệu</t>
  </si>
  <si>
    <t>Thông số</t>
  </si>
  <si>
    <t>Giá trị</t>
  </si>
  <si>
    <t>Định mức GD gốc</t>
  </si>
  <si>
    <t>Định mức NCKH (giờ HC)</t>
  </si>
  <si>
    <t>Giờ HC/giờ chuẩn</t>
  </si>
  <si>
    <t>Tỷ lệ trực tiếp</t>
  </si>
  <si>
    <t>Giảm NCKH/tháng chưa về khoa</t>
  </si>
  <si>
    <t>QUY ĐỔI TỶ LỆ GIẢNG DẠY - NGHIÊN CỨU KHOA HỌC</t>
  </si>
  <si>
    <t>Đạt</t>
  </si>
  <si>
    <t>Xuất sắc</t>
  </si>
  <si>
    <t>Khá</t>
  </si>
  <si>
    <t>Giải Nhất</t>
  </si>
  <si>
    <t>Giải Nhì</t>
  </si>
  <si>
    <t>Giải Ba</t>
  </si>
  <si>
    <t>Q1</t>
  </si>
  <si>
    <t>Q4</t>
  </si>
  <si>
    <t>Q2/ Q3</t>
  </si>
  <si>
    <t>WoS/Scopus</t>
  </si>
  <si>
    <t>Hướng dẫn học viên tham gia hội thi toàn quân, toàn quốc</t>
  </si>
  <si>
    <t>Hướng dẫn học viên</t>
  </si>
  <si>
    <t>Tiểu đoàn 1</t>
  </si>
  <si>
    <t>Tiểu đoàn 2</t>
  </si>
  <si>
    <t>Tiểu đoàn 3</t>
  </si>
  <si>
    <t>Tiểu đoàn 4</t>
  </si>
  <si>
    <t>Tiểu đoàn 5</t>
  </si>
  <si>
    <t>Phòng Đào tạo</t>
  </si>
  <si>
    <t>Phòng Chính trị</t>
  </si>
  <si>
    <t>Phòng Hậu cần - Kỹ thuật</t>
  </si>
  <si>
    <t>Ban Khoa học quân sự</t>
  </si>
  <si>
    <t>Ban Tài chính</t>
  </si>
  <si>
    <t>Ban Khảo thí &amp; ĐBCLGD-ĐT</t>
  </si>
  <si>
    <t>Phòng Tham mưu hành chính</t>
  </si>
  <si>
    <t>Đơn vị:</t>
  </si>
  <si>
    <t>Khoa Khoa học xã hội &amp; Nhân văn</t>
  </si>
  <si>
    <t>Khoa Quân sự</t>
  </si>
  <si>
    <t>Khoa Khoa học cơ bản</t>
  </si>
  <si>
    <t>Khoa Kỹ thuật cơ sở</t>
  </si>
  <si>
    <t>Khoa Tăng thiết giáp</t>
  </si>
  <si>
    <t>Khoa Vũ khí</t>
  </si>
  <si>
    <t>Khoa Ô tô</t>
  </si>
  <si>
    <t>Khoa Đạn</t>
  </si>
  <si>
    <t>Khoa Công nghệ thông tin</t>
  </si>
  <si>
    <t>Khoa Tiêu chuẩn đo lường chất lượng</t>
  </si>
  <si>
    <t>Khoa Chỉ huy tham mưu kỹ thuật</t>
  </si>
  <si>
    <t>Khoa Thực hành</t>
  </si>
  <si>
    <t>3. Hướng dẫn học viên</t>
  </si>
  <si>
    <t>Hướng dẫn học viên thực hiện đề tài nghiên cứu khoa học</t>
  </si>
  <si>
    <t>Hướng dẫn học viên thực hiện đề tài khoa học</t>
  </si>
  <si>
    <t>Số lượng HV đạt</t>
  </si>
  <si>
    <t>XS/Giải Nhất</t>
  </si>
  <si>
    <t>Khá/Giải Nhì</t>
  </si>
  <si>
    <t>Nội dung hướng dẫn</t>
  </si>
  <si>
    <t>Đạt/Giải Ba</t>
  </si>
  <si>
    <t>Số giờ chuẩn
 quy đổi</t>
  </si>
  <si>
    <t>Chế tạo thiết bị…</t>
  </si>
  <si>
    <t>Nghiên cứu đề xuất…</t>
  </si>
  <si>
    <t>Nhà giáo</t>
  </si>
  <si>
    <t>Thành phố Hồ Chí Minh, ngày     tháng    năm 2026</t>
  </si>
  <si>
    <t>4. Tham gia Hội đồng xét duyệt thuyết minh, nghiệm thu sản phẩm NCKH; tham gia hội thảo, hội nghị</t>
  </si>
  <si>
    <t>5. Tính giờ vượt định mức</t>
  </si>
  <si>
    <t>Đào Công 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</si>
</sst>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0.0;\-0.0;;@"/>
    <numFmt numFmtId="167" formatCode="0;\-0;;@"/>
  </numFmts>
  <fonts count="17" x14ac:knownFonts="1">
    <font>
      <sz val="11"/>
      <color theme="1"/>
      <name val="Aptos Narrow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i/>
      <sz val="14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4"/>
      <color theme="1"/>
      <name val="Times New Roman"/>
      <family val="1"/>
    </font>
    <font>
      <b/>
      <sz val="11"/>
      <color rgb="FFFFFFFF"/>
      <name val="Times New Roman"/>
    </font>
    <font>
      <sz val="11"/>
      <color rgb="FF172A3A"/>
      <name val="Times New Roman"/>
    </font>
    <font>
      <b/>
      <sz val="14"/>
      <color rgb="FFFF0000"/>
      <name val="Times New Roman"/>
      <family val="1"/>
    </font>
    <font>
      <b/>
      <sz val="11"/>
      <color rgb="FFFFFFFF"/>
      <name val="Times New Roman"/>
      <family val="1"/>
    </font>
    <font>
      <sz val="11"/>
      <color rgb="FF172A3A"/>
      <name val="Times New Roman"/>
      <family val="1"/>
    </font>
    <font>
      <sz val="8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</patternFill>
    </fill>
    <fill>
      <patternFill patternType="solid">
        <fgColor theme="0" tint="-4.9989318521683403E-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183B56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0" borderId="0" xfId="0" applyFont="1"/>
    <xf numFmtId="0" fontId="1" fillId="0" borderId="7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righ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8" fillId="0" borderId="0" xfId="0" applyFont="1"/>
    <xf numFmtId="0" fontId="9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 vertical="center"/>
    </xf>
    <xf numFmtId="0" fontId="8" fillId="0" borderId="0" xfId="0" applyFont="1" applyAlignment="1" applyProtection="1">
      <alignment vertical="center"/>
      <protection locked="0"/>
    </xf>
    <xf numFmtId="0" fontId="8" fillId="0" borderId="0" xfId="0" applyFont="1" applyAlignment="1" applyProtection="1">
      <alignment horizontal="left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165" fontId="1" fillId="3" borderId="7" xfId="0" applyNumberFormat="1" applyFont="1" applyFill="1" applyBorder="1" applyAlignment="1" applyProtection="1">
      <alignment horizontal="right" vertical="center" wrapText="1"/>
      <protection hidden="1"/>
    </xf>
    <xf numFmtId="166" fontId="2" fillId="2" borderId="7" xfId="0" applyNumberFormat="1" applyFont="1" applyFill="1" applyBorder="1" applyAlignment="1" applyProtection="1">
      <alignment horizontal="right" vertical="center"/>
      <protection hidden="1"/>
    </xf>
    <xf numFmtId="0" fontId="1" fillId="0" borderId="0" xfId="0" applyFont="1" applyProtection="1">
      <protection hidden="1"/>
    </xf>
    <xf numFmtId="164" fontId="5" fillId="0" borderId="0" xfId="0" applyNumberFormat="1" applyFont="1" applyAlignment="1" applyProtection="1">
      <alignment vertical="center"/>
      <protection hidden="1"/>
    </xf>
    <xf numFmtId="164" fontId="7" fillId="4" borderId="0" xfId="0" applyNumberFormat="1" applyFont="1" applyFill="1" applyAlignment="1" applyProtection="1">
      <alignment vertical="center"/>
      <protection hidden="1"/>
    </xf>
    <xf numFmtId="167" fontId="2" fillId="3" borderId="7" xfId="0" applyNumberFormat="1" applyFont="1" applyFill="1" applyBorder="1" applyAlignment="1" applyProtection="1">
      <alignment horizontal="center" vertical="center"/>
      <protection hidden="1"/>
    </xf>
    <xf numFmtId="0" fontId="1" fillId="3" borderId="7" xfId="0" applyFont="1" applyFill="1" applyBorder="1" applyAlignment="1" applyProtection="1">
      <alignment horizontal="center" vertical="center"/>
      <protection hidden="1"/>
    </xf>
    <xf numFmtId="0" fontId="2" fillId="3" borderId="7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>
      <alignment vertical="top"/>
    </xf>
    <xf numFmtId="0" fontId="1" fillId="0" borderId="0" xfId="0" applyFont="1" applyProtection="1">
      <protection locked="0"/>
    </xf>
    <xf numFmtId="0" fontId="1" fillId="0" borderId="0" xfId="0" applyFont="1" applyAlignment="1" applyProtection="1">
      <alignment horizontal="right"/>
      <protection locked="0"/>
    </xf>
    <xf numFmtId="166" fontId="2" fillId="3" borderId="7" xfId="0" applyNumberFormat="1" applyFont="1" applyFill="1" applyBorder="1" applyAlignment="1" applyProtection="1">
      <alignment horizontal="right" vertical="center"/>
      <protection hidden="1"/>
    </xf>
    <xf numFmtId="0" fontId="2" fillId="0" borderId="7" xfId="0" applyFont="1" applyBorder="1" applyAlignment="1">
      <alignment vertical="center"/>
    </xf>
    <xf numFmtId="165" fontId="2" fillId="3" borderId="7" xfId="0" applyNumberFormat="1" applyFont="1" applyFill="1" applyBorder="1" applyAlignment="1" applyProtection="1">
      <alignment horizontal="right" vertical="center"/>
      <protection hidden="1"/>
    </xf>
    <xf numFmtId="165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6" borderId="7" xfId="0" applyFont="1" applyFill="1" applyBorder="1" applyAlignment="1" applyProtection="1">
      <alignment horizontal="center" vertical="center"/>
      <protection hidden="1"/>
    </xf>
    <xf numFmtId="0" fontId="2" fillId="6" borderId="7" xfId="0" applyFont="1" applyFill="1" applyBorder="1" applyAlignment="1" applyProtection="1">
      <alignment vertical="center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" fontId="1" fillId="4" borderId="0" xfId="0" applyNumberFormat="1" applyFont="1" applyFill="1" applyAlignment="1">
      <alignment horizontal="center" vertical="center"/>
    </xf>
    <xf numFmtId="0" fontId="2" fillId="2" borderId="7" xfId="0" applyFont="1" applyFill="1" applyBorder="1" applyAlignment="1" applyProtection="1">
      <alignment vertical="center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3" borderId="7" xfId="0" applyFont="1" applyFill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11" fillId="5" borderId="11" xfId="0" applyFont="1" applyFill="1" applyBorder="1" applyAlignment="1" applyProtection="1">
      <alignment horizontal="center" vertical="center" wrapText="1"/>
      <protection hidden="1"/>
    </xf>
    <xf numFmtId="0" fontId="11" fillId="5" borderId="12" xfId="0" applyFont="1" applyFill="1" applyBorder="1" applyAlignment="1" applyProtection="1">
      <alignment horizontal="center" vertical="center" wrapText="1"/>
      <protection hidden="1"/>
    </xf>
    <xf numFmtId="0" fontId="11" fillId="5" borderId="13" xfId="0" applyFont="1" applyFill="1" applyBorder="1" applyAlignment="1" applyProtection="1">
      <alignment horizontal="center" vertical="center" wrapText="1"/>
      <protection hidden="1"/>
    </xf>
    <xf numFmtId="0" fontId="14" fillId="5" borderId="0" xfId="0" applyFont="1" applyFill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vertical="center" wrapText="1"/>
      <protection hidden="1"/>
    </xf>
    <xf numFmtId="9" fontId="12" fillId="0" borderId="0" xfId="0" applyNumberFormat="1" applyFont="1" applyAlignment="1" applyProtection="1">
      <alignment vertical="center"/>
      <protection hidden="1"/>
    </xf>
    <xf numFmtId="0" fontId="12" fillId="0" borderId="0" xfId="0" applyFont="1" applyAlignment="1" applyProtection="1">
      <alignment vertical="center"/>
      <protection hidden="1"/>
    </xf>
    <xf numFmtId="0" fontId="15" fillId="0" borderId="0" xfId="0" applyFont="1" applyAlignment="1" applyProtection="1">
      <alignment vertical="center" wrapText="1"/>
      <protection hidden="1"/>
    </xf>
    <xf numFmtId="9" fontId="12" fillId="0" borderId="0" xfId="0" applyNumberFormat="1" applyFont="1" applyAlignment="1" applyProtection="1">
      <alignment vertical="center" wrapText="1"/>
      <protection hidden="1"/>
    </xf>
    <xf numFmtId="9" fontId="8" fillId="6" borderId="0" xfId="0" applyNumberFormat="1" applyFont="1" applyFill="1" applyAlignment="1">
      <alignment vertical="center" shrinkToFit="1"/>
    </xf>
    <xf numFmtId="165" fontId="1" fillId="6" borderId="0" xfId="0" applyNumberFormat="1" applyFont="1" applyFill="1" applyAlignment="1" applyProtection="1">
      <alignment horizontal="right"/>
      <protection hidden="1"/>
    </xf>
    <xf numFmtId="165" fontId="3" fillId="6" borderId="0" xfId="0" applyNumberFormat="1" applyFont="1" applyFill="1" applyAlignment="1" applyProtection="1">
      <alignment horizontal="right" shrinkToFit="1"/>
      <protection hidden="1"/>
    </xf>
    <xf numFmtId="165" fontId="1" fillId="6" borderId="0" xfId="0" applyNumberFormat="1" applyFont="1" applyFill="1" applyProtection="1">
      <protection hidden="1"/>
    </xf>
    <xf numFmtId="1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justify" vertical="center" wrapText="1"/>
      <protection locked="0"/>
    </xf>
    <xf numFmtId="0" fontId="1" fillId="0" borderId="3" xfId="0" applyFont="1" applyBorder="1" applyAlignment="1" applyProtection="1">
      <alignment horizontal="justify" vertical="center" wrapText="1"/>
      <protection locked="0"/>
    </xf>
    <xf numFmtId="0" fontId="1" fillId="0" borderId="4" xfId="0" applyFont="1" applyBorder="1" applyAlignment="1" applyProtection="1">
      <alignment horizontal="justify" vertical="center" wrapText="1"/>
      <protection locked="0"/>
    </xf>
    <xf numFmtId="0" fontId="1" fillId="6" borderId="2" xfId="0" applyFont="1" applyFill="1" applyBorder="1" applyAlignment="1" applyProtection="1">
      <alignment horizontal="center" vertical="center" wrapText="1"/>
      <protection hidden="1"/>
    </xf>
    <xf numFmtId="0" fontId="1" fillId="6" borderId="4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horizontal="justify" vertical="center" wrapText="1"/>
      <protection locked="0"/>
    </xf>
    <xf numFmtId="166" fontId="2" fillId="3" borderId="7" xfId="0" applyNumberFormat="1" applyFont="1" applyFill="1" applyBorder="1" applyAlignment="1" applyProtection="1">
      <alignment horizontal="center" vertical="center" wrapText="1"/>
      <protection hidden="1"/>
    </xf>
    <xf numFmtId="0" fontId="2" fillId="2" borderId="2" xfId="0" applyFont="1" applyFill="1" applyBorder="1" applyAlignment="1" applyProtection="1">
      <alignment horizontal="center" vertical="center"/>
      <protection hidden="1"/>
    </xf>
    <xf numFmtId="0" fontId="2" fillId="2" borderId="4" xfId="0" applyFont="1" applyFill="1" applyBorder="1" applyAlignment="1" applyProtection="1">
      <alignment horizontal="center" vertical="center"/>
      <protection hidden="1"/>
    </xf>
    <xf numFmtId="167" fontId="2" fillId="2" borderId="2" xfId="0" applyNumberFormat="1" applyFont="1" applyFill="1" applyBorder="1" applyAlignment="1" applyProtection="1">
      <alignment horizontal="center" vertical="center"/>
      <protection hidden="1"/>
    </xf>
    <xf numFmtId="167" fontId="2" fillId="2" borderId="4" xfId="0" applyNumberFormat="1" applyFont="1" applyFill="1" applyBorder="1" applyAlignment="1" applyProtection="1">
      <alignment horizontal="center" vertical="center"/>
      <protection hidden="1"/>
    </xf>
    <xf numFmtId="0" fontId="2" fillId="2" borderId="3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2" fillId="3" borderId="7" xfId="0" applyFont="1" applyFill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left"/>
      <protection hidden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2" xfId="0" applyFont="1" applyFill="1" applyBorder="1" applyAlignment="1" applyProtection="1">
      <alignment horizontal="center" vertical="center"/>
      <protection hidden="1"/>
    </xf>
    <xf numFmtId="0" fontId="1" fillId="3" borderId="3" xfId="0" applyFont="1" applyFill="1" applyBorder="1" applyAlignment="1" applyProtection="1">
      <alignment horizontal="center" vertical="center"/>
      <protection hidden="1"/>
    </xf>
    <xf numFmtId="0" fontId="1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167" fontId="2" fillId="3" borderId="7" xfId="0" applyNumberFormat="1" applyFont="1" applyFill="1" applyBorder="1" applyAlignment="1" applyProtection="1">
      <alignment horizontal="center" vertical="center"/>
      <protection hidden="1"/>
    </xf>
    <xf numFmtId="166" fontId="2" fillId="3" borderId="7" xfId="0" applyNumberFormat="1" applyFont="1" applyFill="1" applyBorder="1" applyAlignment="1" applyProtection="1">
      <alignment horizontal="right" vertical="center"/>
      <protection hidden="1"/>
    </xf>
    <xf numFmtId="0" fontId="1" fillId="0" borderId="7" xfId="0" applyFont="1" applyBorder="1" applyAlignment="1" applyProtection="1">
      <alignment horizontal="center" vertical="center"/>
      <protection hidden="1"/>
    </xf>
    <xf numFmtId="167" fontId="1" fillId="0" borderId="7" xfId="0" applyNumberFormat="1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167" fontId="1" fillId="0" borderId="2" xfId="0" applyNumberFormat="1" applyFont="1" applyBorder="1" applyAlignment="1" applyProtection="1">
      <alignment horizontal="center" vertical="center"/>
      <protection locked="0"/>
    </xf>
    <xf numFmtId="167" fontId="1" fillId="0" borderId="3" xfId="0" applyNumberFormat="1" applyFont="1" applyBorder="1" applyAlignment="1" applyProtection="1">
      <alignment horizontal="center" vertical="center"/>
      <protection locked="0"/>
    </xf>
    <xf numFmtId="167" fontId="1" fillId="0" borderId="4" xfId="0" applyNumberFormat="1" applyFont="1" applyBorder="1" applyAlignment="1" applyProtection="1">
      <alignment horizontal="center" vertical="center"/>
      <protection locked="0"/>
    </xf>
    <xf numFmtId="166" fontId="2" fillId="3" borderId="2" xfId="0" applyNumberFormat="1" applyFont="1" applyFill="1" applyBorder="1" applyAlignment="1" applyProtection="1">
      <alignment horizontal="right" vertical="center"/>
      <protection hidden="1"/>
    </xf>
    <xf numFmtId="166" fontId="2" fillId="3" borderId="3" xfId="0" applyNumberFormat="1" applyFont="1" applyFill="1" applyBorder="1" applyAlignment="1" applyProtection="1">
      <alignment horizontal="right" vertical="center"/>
      <protection hidden="1"/>
    </xf>
    <xf numFmtId="166" fontId="2" fillId="3" borderId="4" xfId="0" applyNumberFormat="1" applyFont="1" applyFill="1" applyBorder="1" applyAlignment="1" applyProtection="1">
      <alignment horizontal="right" vertical="center"/>
      <protection hidden="1"/>
    </xf>
    <xf numFmtId="0" fontId="1" fillId="0" borderId="0" xfId="0" applyFont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left"/>
      <protection hidden="1"/>
    </xf>
    <xf numFmtId="0" fontId="3" fillId="0" borderId="0" xfId="0" applyFont="1" applyAlignment="1" applyProtection="1">
      <alignment horizontal="left" shrinkToFit="1"/>
      <protection hidden="1"/>
    </xf>
    <xf numFmtId="0" fontId="6" fillId="0" borderId="0" xfId="0" applyFont="1" applyAlignment="1" applyProtection="1">
      <alignment horizontal="right"/>
      <protection locked="0"/>
    </xf>
    <xf numFmtId="49" fontId="1" fillId="0" borderId="0" xfId="0" applyNumberFormat="1" applyFont="1" applyAlignment="1" applyProtection="1">
      <alignment horizontal="left" vertical="center"/>
      <protection hidden="1"/>
    </xf>
    <xf numFmtId="165" fontId="2" fillId="6" borderId="7" xfId="0" applyNumberFormat="1" applyFont="1" applyFill="1" applyBorder="1" applyAlignment="1" applyProtection="1">
      <alignment horizontal="right" vertical="center"/>
      <protection hidden="1"/>
    </xf>
    <xf numFmtId="0" fontId="2" fillId="6" borderId="2" xfId="0" applyFont="1" applyFill="1" applyBorder="1" applyAlignment="1" applyProtection="1">
      <alignment horizontal="center" vertical="center"/>
      <protection hidden="1"/>
    </xf>
    <xf numFmtId="0" fontId="2" fillId="6" borderId="3" xfId="0" applyFont="1" applyFill="1" applyBorder="1" applyAlignment="1" applyProtection="1">
      <alignment horizontal="center" vertical="center"/>
      <protection hidden="1"/>
    </xf>
    <xf numFmtId="1" fontId="2" fillId="6" borderId="7" xfId="0" applyNumberFormat="1" applyFont="1" applyFill="1" applyBorder="1" applyAlignment="1" applyProtection="1">
      <alignment horizontal="center" vertical="center"/>
      <protection hidden="1"/>
    </xf>
    <xf numFmtId="0" fontId="2" fillId="6" borderId="15" xfId="0" applyFont="1" applyFill="1" applyBorder="1" applyAlignment="1" applyProtection="1">
      <alignment horizontal="center" vertical="center" wrapText="1"/>
      <protection hidden="1"/>
    </xf>
    <xf numFmtId="0" fontId="2" fillId="6" borderId="17" xfId="0" applyFont="1" applyFill="1" applyBorder="1" applyAlignment="1" applyProtection="1">
      <alignment horizontal="center" vertical="center" wrapText="1"/>
      <protection hidden="1"/>
    </xf>
    <xf numFmtId="0" fontId="2" fillId="6" borderId="8" xfId="0" applyFont="1" applyFill="1" applyBorder="1" applyAlignment="1" applyProtection="1">
      <alignment horizontal="center" vertical="center" wrapText="1"/>
      <protection hidden="1"/>
    </xf>
    <xf numFmtId="0" fontId="2" fillId="6" borderId="16" xfId="0" applyFont="1" applyFill="1" applyBorder="1" applyAlignment="1" applyProtection="1">
      <alignment horizontal="center" vertical="center" wrapText="1"/>
      <protection hidden="1"/>
    </xf>
    <xf numFmtId="0" fontId="2" fillId="6" borderId="14" xfId="0" applyFont="1" applyFill="1" applyBorder="1" applyAlignment="1" applyProtection="1">
      <alignment horizontal="center" vertical="center" wrapText="1"/>
      <protection hidden="1"/>
    </xf>
    <xf numFmtId="0" fontId="2" fillId="6" borderId="9" xfId="0" applyFont="1" applyFill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3" xfId="0" applyFont="1" applyBorder="1" applyAlignment="1" applyProtection="1">
      <alignment horizontal="left" vertical="center"/>
      <protection hidden="1"/>
    </xf>
    <xf numFmtId="0" fontId="1" fillId="0" borderId="4" xfId="0" applyFont="1" applyBorder="1" applyAlignment="1" applyProtection="1">
      <alignment horizontal="left" vertical="center"/>
      <protection hidden="1"/>
    </xf>
    <xf numFmtId="1" fontId="1" fillId="0" borderId="7" xfId="0" applyNumberFormat="1" applyFont="1" applyBorder="1" applyAlignment="1" applyProtection="1">
      <alignment horizontal="center" vertical="center"/>
      <protection locked="0"/>
    </xf>
    <xf numFmtId="165" fontId="2" fillId="6" borderId="2" xfId="0" applyNumberFormat="1" applyFont="1" applyFill="1" applyBorder="1" applyAlignment="1" applyProtection="1">
      <alignment horizontal="right" vertical="center"/>
      <protection hidden="1"/>
    </xf>
    <xf numFmtId="165" fontId="2" fillId="6" borderId="3" xfId="0" applyNumberFormat="1" applyFont="1" applyFill="1" applyBorder="1" applyAlignment="1" applyProtection="1">
      <alignment horizontal="right" vertical="center"/>
      <protection hidden="1"/>
    </xf>
    <xf numFmtId="165" fontId="2" fillId="6" borderId="4" xfId="0" applyNumberFormat="1" applyFont="1" applyFill="1" applyBorder="1" applyAlignment="1" applyProtection="1">
      <alignment horizontal="right" vertical="center"/>
      <protection hidden="1"/>
    </xf>
    <xf numFmtId="0" fontId="13" fillId="0" borderId="0" xfId="0" applyFont="1" applyAlignment="1" applyProtection="1">
      <alignment horizontal="center" vertical="top"/>
      <protection hidden="1"/>
    </xf>
    <xf numFmtId="0" fontId="14" fillId="5" borderId="0" xfId="0" applyFont="1" applyFill="1" applyAlignment="1" applyProtection="1">
      <alignment horizontal="center" vertical="center" wrapText="1"/>
      <protection hidden="1"/>
    </xf>
    <xf numFmtId="0" fontId="11" fillId="5" borderId="0" xfId="0" applyFont="1" applyFill="1" applyAlignment="1" applyProtection="1">
      <alignment horizontal="center" vertical="center" wrapText="1"/>
      <protection hidden="1"/>
    </xf>
    <xf numFmtId="0" fontId="11" fillId="5" borderId="11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7723-EBD7-405B-8A35-C34A704FF4CF}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B4A6-903A-482D-9971-2D05483EE955}">
  <sheetPr codeName="Sheet2">
    <pageSetUpPr autoPageBreaks="0" fitToPage="1"/>
  </sheetPr>
  <dimension ref="A1:S69"/>
  <sheetViews>
    <sheetView showGridLines="0" tabSelected="1" view="pageBreakPreview" topLeftCell="A53" zoomScale="85" zoomScaleNormal="115" zoomScaleSheetLayoutView="85" zoomScalePageLayoutView="85" workbookViewId="0">
      <selection activeCell="H62" sqref="H62"/>
    </sheetView>
  </sheetViews>
  <sheetFormatPr defaultColWidth="9.109375" defaultRowHeight="14.4" x14ac:dyDescent="0.3"/>
  <cols>
    <col min="1" max="1" width="1" style="1" customWidth="1"/>
    <col min="2" max="2" width="13.5546875" style="1" customWidth="1"/>
    <col min="3" max="3" width="6.44140625" style="1" customWidth="1"/>
    <col min="4" max="4" width="12.88671875" style="1" customWidth="1"/>
    <col min="5" max="5" width="5.88671875" style="1" customWidth="1"/>
    <col min="6" max="6" width="5.6640625" style="1" customWidth="1"/>
    <col min="7" max="7" width="6.109375" style="1" customWidth="1"/>
    <col min="8" max="8" width="6.33203125" style="1" customWidth="1"/>
    <col min="9" max="9" width="14.33203125" style="1" customWidth="1"/>
    <col min="10" max="10" width="5.6640625" style="1" customWidth="1"/>
    <col min="11" max="11" width="6" style="1" customWidth="1"/>
    <col min="12" max="13" width="5.33203125" style="1" customWidth="1"/>
    <col min="14" max="14" width="5.88671875" style="1" customWidth="1"/>
    <col min="15" max="15" width="6" style="1" customWidth="1"/>
    <col min="16" max="17" width="5.6640625" style="1" customWidth="1"/>
    <col min="18" max="18" width="6.5546875" style="1" customWidth="1"/>
    <col min="19" max="19" width="15.6640625" style="1" customWidth="1"/>
    <col min="20" max="20" width="1.6640625" customWidth="1"/>
  </cols>
  <sheetData>
    <row r="1" spans="2:19" x14ac:dyDescent="0.3">
      <c r="F1" s="90"/>
      <c r="G1" s="90"/>
      <c r="H1" s="90"/>
      <c r="O1" s="91" t="s">
        <v>0</v>
      </c>
      <c r="P1" s="91"/>
      <c r="Q1" s="91"/>
      <c r="R1" s="91"/>
      <c r="S1" s="91"/>
    </row>
    <row r="2" spans="2:19" ht="25.95" customHeight="1" x14ac:dyDescent="0.3">
      <c r="B2" s="92" t="s">
        <v>1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</row>
    <row r="3" spans="2:19" ht="16.8" x14ac:dyDescent="0.3">
      <c r="B3" s="6" t="s">
        <v>142</v>
      </c>
      <c r="C3" s="6"/>
      <c r="D3" s="13" t="s">
        <v>147</v>
      </c>
      <c r="E3" s="6"/>
      <c r="F3" s="5"/>
      <c r="G3" s="8"/>
      <c r="H3" s="9"/>
      <c r="I3" s="10"/>
      <c r="J3" s="11" t="s">
        <v>2</v>
      </c>
      <c r="K3" s="11"/>
      <c r="L3" s="13" t="s">
        <v>3</v>
      </c>
      <c r="M3" s="8"/>
      <c r="N3" s="8"/>
      <c r="O3" s="8"/>
      <c r="P3" s="7"/>
      <c r="Q3" s="7"/>
      <c r="R3" s="7"/>
      <c r="S3" s="7"/>
    </row>
    <row r="4" spans="2:19" ht="16.8" x14ac:dyDescent="0.3">
      <c r="B4" s="6" t="s">
        <v>4</v>
      </c>
      <c r="C4" s="7"/>
      <c r="D4" s="14" t="s">
        <v>170</v>
      </c>
      <c r="E4" s="6"/>
      <c r="F4" s="6"/>
      <c r="G4" s="6"/>
      <c r="H4" s="6"/>
      <c r="I4" s="12"/>
      <c r="J4" s="5" t="s">
        <v>5</v>
      </c>
      <c r="K4" s="8"/>
      <c r="L4" s="14" t="s">
        <v>79</v>
      </c>
      <c r="M4" s="6"/>
      <c r="N4" s="8"/>
      <c r="O4" s="8"/>
      <c r="P4" s="6"/>
      <c r="Q4" s="6"/>
      <c r="R4" s="6"/>
      <c r="S4" s="6"/>
    </row>
    <row r="5" spans="2:19" ht="16.8" x14ac:dyDescent="0.3">
      <c r="B5" s="6" t="s">
        <v>7</v>
      </c>
      <c r="C5" s="6"/>
      <c r="D5" s="6"/>
      <c r="E5" s="55">
        <f>IFERROR(VLOOKUP(L4, 'Quy doi'!$A$3:$B$25, 2, FALSE), "")</f>
        <v>1</v>
      </c>
      <c r="G5" s="6"/>
      <c r="H5" s="6"/>
      <c r="I5" s="6"/>
      <c r="J5" s="5" t="s">
        <v>86</v>
      </c>
      <c r="K5" s="6"/>
      <c r="L5" s="6"/>
      <c r="M5" s="6"/>
      <c r="N5" s="8"/>
      <c r="O5" s="8"/>
      <c r="P5" s="14">
        <v>4</v>
      </c>
      <c r="R5" s="6"/>
      <c r="S5" s="6"/>
    </row>
    <row r="6" spans="2:19" ht="16.8" x14ac:dyDescent="0.3">
      <c r="B6" s="94" t="s">
        <v>8</v>
      </c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  <c r="R6" s="94"/>
      <c r="S6" s="94"/>
    </row>
    <row r="7" spans="2:19" ht="15.6" customHeight="1" x14ac:dyDescent="0.3"/>
    <row r="8" spans="2:19" ht="22.5" customHeight="1" x14ac:dyDescent="0.3">
      <c r="B8" s="87" t="s">
        <v>9</v>
      </c>
      <c r="C8" s="87" t="s">
        <v>10</v>
      </c>
      <c r="D8" s="87" t="s">
        <v>11</v>
      </c>
      <c r="E8" s="102" t="s">
        <v>12</v>
      </c>
      <c r="F8" s="102"/>
      <c r="G8" s="102"/>
      <c r="H8" s="102"/>
      <c r="I8" s="102"/>
      <c r="J8" s="103" t="s">
        <v>13</v>
      </c>
      <c r="K8" s="104"/>
      <c r="L8" s="105"/>
      <c r="M8" s="102" t="s">
        <v>14</v>
      </c>
      <c r="N8" s="102"/>
      <c r="O8" s="102"/>
      <c r="P8" s="102"/>
      <c r="Q8" s="81" t="s">
        <v>15</v>
      </c>
      <c r="R8" s="95" t="s">
        <v>16</v>
      </c>
      <c r="S8" s="87" t="s">
        <v>17</v>
      </c>
    </row>
    <row r="9" spans="2:19" ht="28.2" customHeight="1" x14ac:dyDescent="0.3">
      <c r="B9" s="88"/>
      <c r="C9" s="88"/>
      <c r="D9" s="88"/>
      <c r="E9" s="98" t="s">
        <v>18</v>
      </c>
      <c r="F9" s="100"/>
      <c r="G9" s="100"/>
      <c r="H9" s="99"/>
      <c r="I9" s="84" t="s">
        <v>19</v>
      </c>
      <c r="J9" s="84" t="s">
        <v>20</v>
      </c>
      <c r="K9" s="84" t="s">
        <v>21</v>
      </c>
      <c r="L9" s="84" t="s">
        <v>22</v>
      </c>
      <c r="M9" s="84" t="s">
        <v>23</v>
      </c>
      <c r="N9" s="84" t="s">
        <v>24</v>
      </c>
      <c r="O9" s="84" t="s">
        <v>25</v>
      </c>
      <c r="P9" s="101" t="s">
        <v>26</v>
      </c>
      <c r="Q9" s="82"/>
      <c r="R9" s="96"/>
      <c r="S9" s="88"/>
    </row>
    <row r="10" spans="2:19" ht="29.25" customHeight="1" x14ac:dyDescent="0.3">
      <c r="B10" s="88"/>
      <c r="C10" s="88"/>
      <c r="D10" s="88"/>
      <c r="E10" s="98" t="s">
        <v>27</v>
      </c>
      <c r="F10" s="99"/>
      <c r="G10" s="98" t="s">
        <v>28</v>
      </c>
      <c r="H10" s="99"/>
      <c r="I10" s="85"/>
      <c r="J10" s="85"/>
      <c r="K10" s="85"/>
      <c r="L10" s="85"/>
      <c r="M10" s="85"/>
      <c r="N10" s="85"/>
      <c r="O10" s="85"/>
      <c r="P10" s="101"/>
      <c r="Q10" s="82"/>
      <c r="R10" s="96"/>
      <c r="S10" s="88"/>
    </row>
    <row r="11" spans="2:19" ht="21.75" customHeight="1" x14ac:dyDescent="0.3">
      <c r="B11" s="89"/>
      <c r="C11" s="89"/>
      <c r="D11" s="89"/>
      <c r="E11" s="2" t="s">
        <v>29</v>
      </c>
      <c r="F11" s="2" t="s">
        <v>30</v>
      </c>
      <c r="G11" s="2" t="s">
        <v>29</v>
      </c>
      <c r="H11" s="2" t="s">
        <v>30</v>
      </c>
      <c r="I11" s="86"/>
      <c r="J11" s="86"/>
      <c r="K11" s="86"/>
      <c r="L11" s="86"/>
      <c r="M11" s="86"/>
      <c r="N11" s="86"/>
      <c r="O11" s="86"/>
      <c r="P11" s="101"/>
      <c r="Q11" s="83"/>
      <c r="R11" s="97"/>
      <c r="S11" s="89"/>
    </row>
    <row r="12" spans="2:19" ht="16.2" customHeight="1" x14ac:dyDescent="0.3">
      <c r="B12" s="15" t="s">
        <v>31</v>
      </c>
      <c r="C12" s="15">
        <v>10</v>
      </c>
      <c r="D12" s="15" t="s">
        <v>32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27" t="str">
        <f>IF(COUNT(E12:I12,L12)=0,"",SUM(E12:I12,L12))</f>
        <v/>
      </c>
      <c r="R12" s="33">
        <f>IF(COUNTA(B12:P12)=0,"",ROUND(E12+F12*1.2+G12*1.2+H12*1.5+I12*2+K12*50%*IF(J12="TN",2,IF(J12="Viết",1.5,IF(J12="TH",1,IF(J12="VĐ",0.75,0))))+IF(J12="TN",L12*0.3*50%+C12*0.1*50%,IF(J12="Viết",L12*0.3*50%+C12*0.2*50%,IF(J12="VĐ",L12*0.5*50%,IF(J12="TH",L12*0.75*50%,0))))+O12*IF(M12="BS",1,IF(M12="HC",25%,0))*IF(N12="TN",2,IF(N12="Viết",1.5,IF(N12="TH",1,IF(N12="VĐ",0.75,0))))+IF(N12="TN",P12*0.3+C12*0.1,IF(N12="Viết",P12*0.3+C12*0.2,IF(N12="VĐ",P12*0.5,IF(N12="TH",P12*0.75,0)))),1))</f>
        <v>0</v>
      </c>
      <c r="S12" s="15" t="s">
        <v>33</v>
      </c>
    </row>
    <row r="13" spans="2:19" ht="16.2" customHeight="1" x14ac:dyDescent="0.3">
      <c r="B13" s="15" t="s">
        <v>34</v>
      </c>
      <c r="C13" s="15">
        <v>15</v>
      </c>
      <c r="D13" s="15" t="s">
        <v>35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27" t="str">
        <f t="shared" ref="Q13:Q26" si="0">IF(COUNT(E13:I13,L13)=0,"",SUM(E13:I13,L13))</f>
        <v/>
      </c>
      <c r="R13" s="33">
        <f t="shared" ref="R13:R26" si="1">IF(COUNTA(B13:P13)=0,"",ROUND(E13+F13*1.2+G13*1.2+H13*1.5+I13*2+K13*50%*IF(J13="TN",2,IF(J13="Viết",1.5,IF(J13="TH",1,IF(J13="VĐ",0.75,0))))+IF(J13="TN",L13*0.3*50%+C13*0.1*50%,IF(J13="Viết",L13*0.3*50%+C13*0.2*50%,IF(J13="VĐ",L13*0.5*50%,IF(J13="TH",L13*0.75*50%,0))))+O13*IF(M13="BS",1,IF(M13="HC",25%,0))*IF(N13="TN",2,IF(N13="Viết",1.5,IF(N13="TH",1,IF(N13="VĐ",0.75,0))))+IF(N13="TN",P13*0.3+C13*0.1,IF(N13="Viết",P13*0.3+C13*0.2,IF(N13="VĐ",P13*0.5,IF(N13="TH",P13*0.75,0)))),1))</f>
        <v>0</v>
      </c>
      <c r="S13" s="15" t="s">
        <v>36</v>
      </c>
    </row>
    <row r="14" spans="2:19" ht="16.2" customHeight="1" x14ac:dyDescent="0.3">
      <c r="B14" s="15" t="s">
        <v>34</v>
      </c>
      <c r="C14" s="15">
        <v>10</v>
      </c>
      <c r="D14" s="15" t="s">
        <v>37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27" t="str">
        <f t="shared" si="0"/>
        <v/>
      </c>
      <c r="R14" s="33">
        <f t="shared" si="1"/>
        <v>0</v>
      </c>
      <c r="S14" s="15" t="s">
        <v>38</v>
      </c>
    </row>
    <row r="15" spans="2:19" ht="16.2" customHeight="1" x14ac:dyDescent="0.3"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27" t="str">
        <f t="shared" si="0"/>
        <v/>
      </c>
      <c r="R15" s="33" t="str">
        <f t="shared" si="1"/>
        <v/>
      </c>
      <c r="S15" s="15"/>
    </row>
    <row r="16" spans="2:19" ht="16.2" customHeight="1" x14ac:dyDescent="0.3"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27" t="str">
        <f t="shared" si="0"/>
        <v/>
      </c>
      <c r="R16" s="33" t="str">
        <f t="shared" si="1"/>
        <v/>
      </c>
      <c r="S16" s="15"/>
    </row>
    <row r="17" spans="2:19" ht="16.2" customHeight="1" x14ac:dyDescent="0.3"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27" t="str">
        <f t="shared" si="0"/>
        <v/>
      </c>
      <c r="R17" s="33" t="str">
        <f t="shared" si="1"/>
        <v/>
      </c>
      <c r="S17" s="15"/>
    </row>
    <row r="18" spans="2:19" ht="16.2" customHeight="1" x14ac:dyDescent="0.3"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27" t="str">
        <f t="shared" si="0"/>
        <v/>
      </c>
      <c r="R18" s="33" t="str">
        <f t="shared" si="1"/>
        <v/>
      </c>
      <c r="S18" s="15"/>
    </row>
    <row r="19" spans="2:19" ht="16.2" customHeight="1" x14ac:dyDescent="0.3"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27" t="str">
        <f>IF(COUNT(E19:I19,L19)=0,"",SUM(E19:I19,L19))</f>
        <v/>
      </c>
      <c r="R19" s="33" t="str">
        <f t="shared" si="1"/>
        <v/>
      </c>
      <c r="S19" s="15"/>
    </row>
    <row r="20" spans="2:19" ht="16.2" customHeight="1" x14ac:dyDescent="0.3"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27" t="str">
        <f t="shared" si="0"/>
        <v/>
      </c>
      <c r="R20" s="33" t="str">
        <f t="shared" si="1"/>
        <v/>
      </c>
      <c r="S20" s="15"/>
    </row>
    <row r="21" spans="2:19" ht="16.2" customHeight="1" x14ac:dyDescent="0.3"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27" t="str">
        <f t="shared" si="0"/>
        <v/>
      </c>
      <c r="R21" s="33" t="str">
        <f t="shared" si="1"/>
        <v/>
      </c>
      <c r="S21" s="15"/>
    </row>
    <row r="22" spans="2:19" ht="16.2" customHeight="1" x14ac:dyDescent="0.3"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27" t="str">
        <f t="shared" si="0"/>
        <v/>
      </c>
      <c r="R22" s="33" t="str">
        <f t="shared" si="1"/>
        <v/>
      </c>
      <c r="S22" s="15"/>
    </row>
    <row r="23" spans="2:19" ht="16.2" customHeight="1" x14ac:dyDescent="0.3"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27" t="str">
        <f t="shared" si="0"/>
        <v/>
      </c>
      <c r="R23" s="33" t="str">
        <f t="shared" si="1"/>
        <v/>
      </c>
      <c r="S23" s="15"/>
    </row>
    <row r="24" spans="2:19" ht="16.2" customHeight="1" x14ac:dyDescent="0.3"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27" t="str">
        <f t="shared" si="0"/>
        <v/>
      </c>
      <c r="R24" s="33" t="str">
        <f t="shared" si="1"/>
        <v/>
      </c>
      <c r="S24" s="15"/>
    </row>
    <row r="25" spans="2:19" ht="16.2" customHeight="1" x14ac:dyDescent="0.3"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27" t="str">
        <f t="shared" si="0"/>
        <v/>
      </c>
      <c r="R25" s="33" t="str">
        <f t="shared" si="1"/>
        <v/>
      </c>
      <c r="S25" s="15"/>
    </row>
    <row r="26" spans="2:19" ht="16.2" customHeight="1" x14ac:dyDescent="0.3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7" t="str">
        <f t="shared" si="0"/>
        <v/>
      </c>
      <c r="R26" s="33" t="str">
        <f t="shared" si="1"/>
        <v/>
      </c>
      <c r="S26" s="15"/>
    </row>
    <row r="27" spans="2:19" ht="16.2" customHeight="1" x14ac:dyDescent="0.3">
      <c r="B27" s="106" t="s">
        <v>39</v>
      </c>
      <c r="C27" s="107"/>
      <c r="D27" s="108"/>
      <c r="E27" s="25">
        <f>SUM(E12:E26)</f>
        <v>0</v>
      </c>
      <c r="F27" s="25">
        <f>SUM(F12:F26)</f>
        <v>0</v>
      </c>
      <c r="G27" s="25">
        <f>SUM(G12:G26)</f>
        <v>0</v>
      </c>
      <c r="H27" s="25">
        <f>SUM(H12:H26)</f>
        <v>0</v>
      </c>
      <c r="I27" s="25">
        <f>SUM(I12:I26)</f>
        <v>0</v>
      </c>
      <c r="J27" s="25"/>
      <c r="K27" s="25">
        <f>SUM(K12:K26)</f>
        <v>0</v>
      </c>
      <c r="L27" s="25">
        <f>SUM(L12:L26)</f>
        <v>0</v>
      </c>
      <c r="M27" s="25"/>
      <c r="N27" s="25"/>
      <c r="O27" s="25">
        <f>SUM(O12:O26)</f>
        <v>0</v>
      </c>
      <c r="P27" s="25">
        <f>SUM(P12:P26)</f>
        <v>0</v>
      </c>
      <c r="Q27" s="25">
        <f>SUM(Q12:Q26)</f>
        <v>0</v>
      </c>
      <c r="R27" s="31">
        <f>SUM(R12:R26)</f>
        <v>0</v>
      </c>
      <c r="S27" s="26"/>
    </row>
    <row r="28" spans="2:19" ht="28.2" customHeight="1" x14ac:dyDescent="0.3">
      <c r="B28" s="28" t="s">
        <v>40</v>
      </c>
    </row>
    <row r="29" spans="2:19" ht="25.8" customHeight="1" x14ac:dyDescent="0.3">
      <c r="B29" s="109" t="s">
        <v>41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</row>
    <row r="30" spans="2:19" ht="60" customHeight="1" x14ac:dyDescent="0.3">
      <c r="B30" s="42" t="s">
        <v>42</v>
      </c>
      <c r="C30" s="113" t="s">
        <v>43</v>
      </c>
      <c r="D30" s="113"/>
      <c r="E30" s="113"/>
      <c r="F30" s="113"/>
      <c r="G30" s="113"/>
      <c r="H30" s="113"/>
      <c r="I30" s="43" t="s">
        <v>44</v>
      </c>
      <c r="J30" s="111" t="s">
        <v>45</v>
      </c>
      <c r="K30" s="112"/>
      <c r="L30" s="42" t="s">
        <v>46</v>
      </c>
      <c r="M30" s="42" t="s">
        <v>47</v>
      </c>
      <c r="N30" s="69" t="s">
        <v>48</v>
      </c>
      <c r="O30" s="69"/>
      <c r="P30" s="42" t="s">
        <v>49</v>
      </c>
      <c r="Q30" s="42" t="s">
        <v>50</v>
      </c>
      <c r="R30" s="44" t="s">
        <v>16</v>
      </c>
      <c r="S30" s="36" t="s">
        <v>51</v>
      </c>
    </row>
    <row r="31" spans="2:19" ht="28.2" customHeight="1" x14ac:dyDescent="0.3">
      <c r="B31" s="16" t="s">
        <v>99</v>
      </c>
      <c r="C31" s="70" t="s">
        <v>165</v>
      </c>
      <c r="D31" s="70"/>
      <c r="E31" s="70"/>
      <c r="F31" s="70"/>
      <c r="G31" s="70"/>
      <c r="H31" s="70"/>
      <c r="I31" s="17" t="s">
        <v>87</v>
      </c>
      <c r="J31" s="63">
        <f>IFERROR(CHOOSE(MATCH(B31,'Quy doi'!$E$3:$E$8,0),CHOOSE(MATCH(I31,'Quy doi'!$F$4:$F$7,0),1200,1800,2400,3600),CHOOSE(MATCH(I31,'Quy doi'!$F$4:$F$7,0),300,450,600,900),IF(I31='Quy doi'!$F$4,CHOOSE(MATCH(M31,'Quy doi'!$G$3:$G$5,0),300,250,200),NA()),1200,IF(I31='Quy doi'!$F$11,CHOOSE(MATCH(M31,'Quy doi'!$G$6:$G$8,0),1200,1000,800),CHOOSE(MATCH(I31,'Quy doi'!$F$9:$F$10,0),300,600)),CHOOSE(MATCH(I31,'Quy doi'!$F$3:$F$8,0),100,200,300,450,600,600)),"")</f>
        <v>1200</v>
      </c>
      <c r="K31" s="64"/>
      <c r="L31" s="15">
        <v>1</v>
      </c>
      <c r="M31" s="16" t="s">
        <v>119</v>
      </c>
      <c r="N31" s="65" t="s">
        <v>90</v>
      </c>
      <c r="O31" s="66"/>
      <c r="P31" s="15">
        <v>5</v>
      </c>
      <c r="Q31" s="15">
        <v>30</v>
      </c>
      <c r="R31" s="20">
        <f>IF(B31="","",IFERROR(IF(OR(NOT(ISNUMBER(J31)),J31&lt;0),"Kiểm tra giờ hành chính",IF(OR(NOT(ISNUMBER(L31)),L31&lt;=0),"Nhập số năm",IF(OR(NOT(ISNUMBER(P31)),P31&lt;1,P31&lt;&gt;INT(P31)),"Số thành viên phải là số nguyên từ 1",IF(NOT(OR(TRIM(N31)="Chủ nhiệm",TRIM(N31)="Chủ biên",TRIM(N31)="Tác giả chính",TRIM(N31)="Tham gia")),"Chọn chức năng",IF(AND(Q31&lt;&gt;"",OR(NOT(ISNUMBER(Q31)),Q31&lt;0,Q31&gt;100)),"Tỷ lệ đóng góp phải từ 0 đến 100",IF(OR(NOT(ISNUMBER('Quy doi'!$J$5)),'Quy doi'!$J$5&lt;&gt;3),"Quy doi!J5 phải là số 3",ROUND(J31/L31/'Quy doi'!$J$5*IF(P31=1,1,IF(TRIM(N31)="Tham gia",0,IF(P31=2,2/3,IF(P31=3,1/2,1/3)))+(1-IF(P31=2,2/3,IF(P31=3,1/2,1/3)))*IF(ISNUMBER(Q31),Q31/100,1/P31)),1))))))),"Lỗi ở ô nguồn"))</f>
        <v>80</v>
      </c>
      <c r="S31" s="18"/>
    </row>
    <row r="32" spans="2:19" ht="28.2" customHeight="1" x14ac:dyDescent="0.3">
      <c r="B32" s="16" t="s">
        <v>101</v>
      </c>
      <c r="C32" s="70" t="s">
        <v>164</v>
      </c>
      <c r="D32" s="70"/>
      <c r="E32" s="70"/>
      <c r="F32" s="70"/>
      <c r="G32" s="70"/>
      <c r="H32" s="70"/>
      <c r="I32" s="17" t="s">
        <v>87</v>
      </c>
      <c r="J32" s="63">
        <f>IFERROR(CHOOSE(MATCH(B32,'Quy doi'!$E$3:$E$8,0),CHOOSE(MATCH(I32,'Quy doi'!$F$4:$F$7,0),1200,1800,2400,3600),CHOOSE(MATCH(I32,'Quy doi'!$F$4:$F$7,0),300,450,600,900),IF(I32='Quy doi'!$F$4,CHOOSE(MATCH(M32,'Quy doi'!$G$3:$G$5,0),300,250,200),NA()),1200,IF(I32='Quy doi'!$F$11,CHOOSE(MATCH(M32,'Quy doi'!$G$6:$G$8,0),1200,1000,800),CHOOSE(MATCH(I32,'Quy doi'!$F$9:$F$10,0),300,600)),CHOOSE(MATCH(I32,'Quy doi'!$F$3:$F$8,0),100,200,300,450,600,600)),"")</f>
        <v>300</v>
      </c>
      <c r="K32" s="64"/>
      <c r="L32" s="15">
        <v>1</v>
      </c>
      <c r="M32" s="16" t="s">
        <v>119</v>
      </c>
      <c r="N32" s="65" t="s">
        <v>90</v>
      </c>
      <c r="O32" s="66"/>
      <c r="P32" s="15">
        <v>2</v>
      </c>
      <c r="Q32" s="15">
        <v>60</v>
      </c>
      <c r="R32" s="20">
        <f>IF(B32="","",IFERROR(IF(OR(NOT(ISNUMBER(J32)),J32&lt;0),"Kiểm tra giờ hành chính",IF(OR(NOT(ISNUMBER(L32)),L32&lt;=0),"Nhập số năm",IF(OR(NOT(ISNUMBER(P32)),P32&lt;1,P32&lt;&gt;INT(P32)),"Số thành viên phải là số nguyên từ 1",IF(NOT(OR(TRIM(N32)="Chủ nhiệm",TRIM(N32)="Chủ biên",TRIM(N32)="Tác giả chính",TRIM(N32)="Tham gia")),"Chọn chức năng",IF(AND(Q32&lt;&gt;"",OR(NOT(ISNUMBER(Q32)),Q32&lt;0,Q32&gt;100)),"Tỷ lệ đóng góp phải từ 0 đến 100",IF(OR(NOT(ISNUMBER('Quy doi'!$J$5)),'Quy doi'!$J$5&lt;&gt;3),"Quy doi!J5 phải là số 3",ROUND(J32/L32/'Quy doi'!$J$5*IF(P32=1,1,IF(TRIM(N32)="Tham gia",0,IF(P32=2,2/3,IF(P32=3,1/2,1/3)))+(1-IF(P32=2,2/3,IF(P32=3,1/2,1/3)))*IF(ISNUMBER(Q32),Q32/100,1/P32)),1))))))),"Lỗi ở ô nguồn"))</f>
        <v>20</v>
      </c>
      <c r="S32" s="18"/>
    </row>
    <row r="33" spans="2:19" ht="28.2" customHeight="1" x14ac:dyDescent="0.3">
      <c r="B33" s="16"/>
      <c r="C33" s="60"/>
      <c r="D33" s="61"/>
      <c r="E33" s="61"/>
      <c r="F33" s="61"/>
      <c r="G33" s="61"/>
      <c r="H33" s="62"/>
      <c r="I33" s="17"/>
      <c r="J33" s="63" t="str">
        <f>IFERROR(CHOOSE(MATCH(B33,'Quy doi'!$E$3:$E$8,0),CHOOSE(MATCH(I33,'Quy doi'!$F$4:$F$7,0),1200,1800,2400,3600),CHOOSE(MATCH(I33,'Quy doi'!$F$4:$F$7,0),300,450,600,900),IF(I33='Quy doi'!$F$4,CHOOSE(MATCH(M33,'Quy doi'!$G$3:$G$5,0),300,250,200),NA()),1200,IF(I33='Quy doi'!$F$11,CHOOSE(MATCH(M33,'Quy doi'!$G$6:$G$8,0),1200,1000,800),CHOOSE(MATCH(I33,'Quy doi'!$F$9:$F$10,0),300,600)),CHOOSE(MATCH(I33,'Quy doi'!$F$3:$F$8,0),100,200,300,450,600,600)),"")</f>
        <v/>
      </c>
      <c r="K33" s="64"/>
      <c r="L33" s="15"/>
      <c r="M33" s="16"/>
      <c r="N33" s="65"/>
      <c r="O33" s="66"/>
      <c r="P33" s="15"/>
      <c r="Q33" s="15"/>
      <c r="R33" s="20" t="str">
        <f>IF(B33="","",IFERROR(IF(OR(NOT(ISNUMBER(J33)),J33&lt;0),"Kiểm tra giờ hành chính",IF(OR(NOT(ISNUMBER(L33)),L33&lt;=0),"Nhập số năm",IF(OR(NOT(ISNUMBER(P33)),P33&lt;1,P33&lt;&gt;INT(P33)),"Số thành viên phải là số nguyên từ 1",IF(NOT(OR(TRIM(N33)="Chủ nhiệm",TRIM(N33)="Chủ biên",TRIM(N33)="Tác giả chính",TRIM(N33)="Tham gia")),"Chọn chức năng",IF(AND(Q33&lt;&gt;"",OR(NOT(ISNUMBER(Q33)),Q33&lt;0,Q33&gt;100)),"Tỷ lệ đóng góp phải từ 0 đến 100",IF(OR(NOT(ISNUMBER('Quy doi'!$J$5)),'Quy doi'!$J$5&lt;&gt;3),"Quy doi!J5 phải là số 3",ROUND(J33/L33/'Quy doi'!$J$5*IF(P33=1,1,IF(TRIM(N33)="Tham gia",0,IF(P33=2,2/3,IF(P33=3,1/2,1/3)))+(1-IF(P33=2,2/3,IF(P33=3,1/2,1/3)))*IF(ISNUMBER(Q33),Q33/100,1/P33)),1))))))),"Lỗi ở ô nguồn"))</f>
        <v/>
      </c>
      <c r="S33" s="18"/>
    </row>
    <row r="34" spans="2:19" ht="28.2" customHeight="1" x14ac:dyDescent="0.3">
      <c r="B34" s="16"/>
      <c r="C34" s="60"/>
      <c r="D34" s="61"/>
      <c r="E34" s="61"/>
      <c r="F34" s="61"/>
      <c r="G34" s="61"/>
      <c r="H34" s="62"/>
      <c r="I34" s="17"/>
      <c r="J34" s="63" t="str">
        <f>IFERROR(CHOOSE(MATCH(B34,'Quy doi'!$E$3:$E$8,0),CHOOSE(MATCH(I34,'Quy doi'!$F$4:$F$7,0),1200,1800,2400,3600),CHOOSE(MATCH(I34,'Quy doi'!$F$4:$F$7,0),300,450,600,900),IF(I34='Quy doi'!$F$4,CHOOSE(MATCH(M34,'Quy doi'!$G$3:$G$5,0),300,250,200),NA()),1200,IF(I34='Quy doi'!$F$11,CHOOSE(MATCH(M34,'Quy doi'!$G$6:$G$8,0),1200,1000,800),CHOOSE(MATCH(I34,'Quy doi'!$F$9:$F$10,0),300,600)),CHOOSE(MATCH(I34,'Quy doi'!$F$3:$F$8,0),100,200,300,450,600,600)),"")</f>
        <v/>
      </c>
      <c r="K34" s="64"/>
      <c r="L34" s="15"/>
      <c r="M34" s="16"/>
      <c r="N34" s="65"/>
      <c r="O34" s="66"/>
      <c r="P34" s="15"/>
      <c r="Q34" s="15"/>
      <c r="R34" s="20" t="str">
        <f>IF(B34="","",IFERROR(IF(OR(NOT(ISNUMBER(J34)),J34&lt;0),"Kiểm tra giờ hành chính",IF(OR(NOT(ISNUMBER(L34)),L34&lt;=0),"Nhập số năm",IF(OR(NOT(ISNUMBER(P34)),P34&lt;1,P34&lt;&gt;INT(P34)),"Số thành viên phải là số nguyên từ 1",IF(NOT(OR(TRIM(N34)="Chủ nhiệm",TRIM(N34)="Chủ biên",TRIM(N34)="Tác giả chính",TRIM(N34)="Tham gia")),"Chọn chức năng",IF(AND(Q34&lt;&gt;"",OR(NOT(ISNUMBER(Q34)),Q34&lt;0,Q34&gt;100)),"Tỷ lệ đóng góp phải từ 0 đến 100",IF(OR(NOT(ISNUMBER('Quy doi'!$J$5)),'Quy doi'!$J$5&lt;&gt;3),"Quy doi!J5 phải là số 3",ROUND(J34/L34/'Quy doi'!$J$5*IF(P34=1,1,IF(TRIM(N34)="Tham gia",0,IF(P34=2,2/3,IF(P34=3,1/2,1/3)))+(1-IF(P34=2,2/3,IF(P34=3,1/2,1/3)))*IF(ISNUMBER(Q34),Q34/100,1/P34)),1))))))),"Lỗi ở ô nguồn"))</f>
        <v/>
      </c>
      <c r="S34" s="18"/>
    </row>
    <row r="35" spans="2:19" ht="28.2" customHeight="1" x14ac:dyDescent="0.3">
      <c r="B35" s="16"/>
      <c r="C35" s="60"/>
      <c r="D35" s="61"/>
      <c r="E35" s="61"/>
      <c r="F35" s="61"/>
      <c r="G35" s="61"/>
      <c r="H35" s="62"/>
      <c r="I35" s="17"/>
      <c r="J35" s="63" t="str">
        <f>IFERROR(CHOOSE(MATCH(B35,'Quy doi'!$E$3:$E$8,0),CHOOSE(MATCH(I35,'Quy doi'!$F$4:$F$7,0),1200,1800,2400,3600),CHOOSE(MATCH(I35,'Quy doi'!$F$4:$F$7,0),300,450,600,900),IF(I35='Quy doi'!$F$4,CHOOSE(MATCH(M35,'Quy doi'!$G$3:$G$5,0),300,250,200),NA()),1200,IF(I35='Quy doi'!$F$11,CHOOSE(MATCH(M35,'Quy doi'!$G$6:$G$8,0),1200,1000,800),CHOOSE(MATCH(I35,'Quy doi'!$F$9:$F$10,0),300,600)),CHOOSE(MATCH(I35,'Quy doi'!$F$3:$F$8,0),100,200,300,450,600,600)),"")</f>
        <v/>
      </c>
      <c r="K35" s="64"/>
      <c r="L35" s="15"/>
      <c r="M35" s="16"/>
      <c r="N35" s="65"/>
      <c r="O35" s="66"/>
      <c r="P35" s="15"/>
      <c r="Q35" s="15"/>
      <c r="R35" s="20" t="str">
        <f>IF(B35="","",IFERROR(IF(OR(NOT(ISNUMBER(J35)),J35&lt;0),"Kiểm tra giờ hành chính",IF(OR(NOT(ISNUMBER(L35)),L35&lt;=0),"Nhập số năm",IF(OR(NOT(ISNUMBER(P35)),P35&lt;1,P35&lt;&gt;INT(P35)),"Số thành viên phải là số nguyên từ 1",IF(NOT(OR(TRIM(N35)="Chủ nhiệm",TRIM(N35)="Chủ biên",TRIM(N35)="Tác giả chính",TRIM(N35)="Tham gia")),"Chọn chức năng",IF(AND(Q35&lt;&gt;"",OR(NOT(ISNUMBER(Q35)),Q35&lt;0,Q35&gt;100)),"Tỷ lệ đóng góp phải từ 0 đến 100",IF(OR(NOT(ISNUMBER('Quy doi'!$J$5)),'Quy doi'!$J$5&lt;&gt;3),"Quy doi!J5 phải là số 3",ROUND(J35/L35/'Quy doi'!$J$5*IF(P35=1,1,IF(TRIM(N35)="Tham gia",0,IF(P35=2,2/3,IF(P35=3,1/2,1/3)))+(1-IF(P35=2,2/3,IF(P35=3,1/2,1/3)))*IF(ISNUMBER(Q35),Q35/100,1/P35)),1))))))),"Lỗi ở ô nguồn"))</f>
        <v/>
      </c>
      <c r="S35" s="18"/>
    </row>
    <row r="36" spans="2:19" ht="28.2" customHeight="1" x14ac:dyDescent="0.3">
      <c r="B36" s="16"/>
      <c r="C36" s="60"/>
      <c r="D36" s="61"/>
      <c r="E36" s="61"/>
      <c r="F36" s="61"/>
      <c r="G36" s="61"/>
      <c r="H36" s="62"/>
      <c r="I36" s="17"/>
      <c r="J36" s="63" t="str">
        <f>IFERROR(CHOOSE(MATCH(B36,'Quy doi'!$E$3:$E$8,0),CHOOSE(MATCH(I36,'Quy doi'!$F$4:$F$7,0),1200,1800,2400,3600),CHOOSE(MATCH(I36,'Quy doi'!$F$4:$F$7,0),300,450,600,900),IF(I36='Quy doi'!$F$4,CHOOSE(MATCH(M36,'Quy doi'!$G$3:$G$5,0),300,250,200),NA()),1200,IF(I36='Quy doi'!$F$11,CHOOSE(MATCH(M36,'Quy doi'!$G$6:$G$8,0),1200,1000,800),CHOOSE(MATCH(I36,'Quy doi'!$F$9:$F$10,0),300,600)),CHOOSE(MATCH(I36,'Quy doi'!$F$3:$F$8,0),100,200,300,450,600,600)),"")</f>
        <v/>
      </c>
      <c r="K36" s="64"/>
      <c r="L36" s="15"/>
      <c r="M36" s="16"/>
      <c r="N36" s="65"/>
      <c r="O36" s="66"/>
      <c r="P36" s="15"/>
      <c r="Q36" s="15"/>
      <c r="R36" s="20" t="str">
        <f>IF(B36="","",IFERROR(IF(OR(NOT(ISNUMBER(J36)),J36&lt;0),"Kiểm tra giờ hành chính",IF(OR(NOT(ISNUMBER(L36)),L36&lt;=0),"Nhập số năm",IF(OR(NOT(ISNUMBER(P36)),P36&lt;1,P36&lt;&gt;INT(P36)),"Số thành viên phải là số nguyên từ 1",IF(NOT(OR(TRIM(N36)="Chủ nhiệm",TRIM(N36)="Chủ biên",TRIM(N36)="Tác giả chính",TRIM(N36)="Tham gia")),"Chọn chức năng",IF(AND(Q36&lt;&gt;"",OR(NOT(ISNUMBER(Q36)),Q36&lt;0,Q36&gt;100)),"Tỷ lệ đóng góp phải từ 0 đến 100",IF(OR(NOT(ISNUMBER('Quy doi'!$J$5)),'Quy doi'!$J$5&lt;&gt;3),"Quy doi!J5 phải là số 3",ROUND(J36/L36/'Quy doi'!$J$5*IF(P36=1,1,IF(TRIM(N36)="Tham gia",0,IF(P36=2,2/3,IF(P36=3,1/2,1/3)))+(1-IF(P36=2,2/3,IF(P36=3,1/2,1/3)))*IF(ISNUMBER(Q36),Q36/100,1/P36)),1))))))),"Lỗi ở ô nguồn"))</f>
        <v/>
      </c>
      <c r="S36" s="18"/>
    </row>
    <row r="37" spans="2:19" ht="28.2" customHeight="1" x14ac:dyDescent="0.3">
      <c r="B37" s="16"/>
      <c r="C37" s="60"/>
      <c r="D37" s="61"/>
      <c r="E37" s="61"/>
      <c r="F37" s="61"/>
      <c r="G37" s="61"/>
      <c r="H37" s="62"/>
      <c r="I37" s="17"/>
      <c r="J37" s="63" t="str">
        <f>IFERROR(CHOOSE(MATCH(B37,'Quy doi'!$E$3:$E$8,0),CHOOSE(MATCH(I37,'Quy doi'!$F$4:$F$7,0),1200,1800,2400,3600),CHOOSE(MATCH(I37,'Quy doi'!$F$4:$F$7,0),300,450,600,900),IF(I37='Quy doi'!$F$4,CHOOSE(MATCH(M37,'Quy doi'!$G$3:$G$5,0),300,250,200),NA()),1200,IF(I37='Quy doi'!$F$11,CHOOSE(MATCH(M37,'Quy doi'!$G$6:$G$8,0),1200,1000,800),CHOOSE(MATCH(I37,'Quy doi'!$F$9:$F$10,0),300,600)),CHOOSE(MATCH(I37,'Quy doi'!$F$3:$F$8,0),100,200,300,450,600,600)),"")</f>
        <v/>
      </c>
      <c r="K37" s="64"/>
      <c r="L37" s="15"/>
      <c r="M37" s="16"/>
      <c r="N37" s="65"/>
      <c r="O37" s="66"/>
      <c r="P37" s="15"/>
      <c r="Q37" s="15"/>
      <c r="R37" s="20" t="str">
        <f>IF(B37="","",IFERROR(IF(OR(NOT(ISNUMBER(J37)),J37&lt;0),"Kiểm tra giờ hành chính",IF(OR(NOT(ISNUMBER(L37)),L37&lt;=0),"Nhập số năm",IF(OR(NOT(ISNUMBER(P37)),P37&lt;1,P37&lt;&gt;INT(P37)),"Số thành viên phải là số nguyên từ 1",IF(NOT(OR(TRIM(N37)="Chủ nhiệm",TRIM(N37)="Chủ biên",TRIM(N37)="Tác giả chính",TRIM(N37)="Tham gia")),"Chọn chức năng",IF(AND(Q37&lt;&gt;"",OR(NOT(ISNUMBER(Q37)),Q37&lt;0,Q37&gt;100)),"Tỷ lệ đóng góp phải từ 0 đến 100",IF(OR(NOT(ISNUMBER('Quy doi'!$J$5)),'Quy doi'!$J$5&lt;&gt;3),"Quy doi!J5 phải là số 3",ROUND(J37/L37/'Quy doi'!$J$5*IF(P37=1,1,IF(TRIM(N37)="Tham gia",0,IF(P37=2,2/3,IF(P37=3,1/2,1/3)))+(1-IF(P37=2,2/3,IF(P37=3,1/2,1/3)))*IF(ISNUMBER(Q37),Q37/100,1/P37)),1))))))),"Lỗi ở ô nguồn"))</f>
        <v/>
      </c>
      <c r="S37" s="18"/>
    </row>
    <row r="38" spans="2:19" ht="28.2" customHeight="1" x14ac:dyDescent="0.3">
      <c r="B38" s="16"/>
      <c r="C38" s="60"/>
      <c r="D38" s="61"/>
      <c r="E38" s="61"/>
      <c r="F38" s="61"/>
      <c r="G38" s="61"/>
      <c r="H38" s="62"/>
      <c r="I38" s="17"/>
      <c r="J38" s="63" t="str">
        <f>IFERROR(CHOOSE(MATCH(B38,'Quy doi'!$E$3:$E$8,0),CHOOSE(MATCH(I38,'Quy doi'!$F$4:$F$7,0),1200,1800,2400,3600),CHOOSE(MATCH(I38,'Quy doi'!$F$4:$F$7,0),300,450,600,900),IF(I38='Quy doi'!$F$4,CHOOSE(MATCH(M38,'Quy doi'!$G$3:$G$5,0),300,250,200),NA()),1200,IF(I38='Quy doi'!$F$11,CHOOSE(MATCH(M38,'Quy doi'!$G$6:$G$8,0),1200,1000,800),CHOOSE(MATCH(I38,'Quy doi'!$F$9:$F$10,0),300,600)),CHOOSE(MATCH(I38,'Quy doi'!$F$3:$F$8,0),100,200,300,450,600,600)),"")</f>
        <v/>
      </c>
      <c r="K38" s="64"/>
      <c r="L38" s="15"/>
      <c r="M38" s="16"/>
      <c r="N38" s="65"/>
      <c r="O38" s="66"/>
      <c r="P38" s="15"/>
      <c r="Q38" s="15"/>
      <c r="R38" s="20" t="str">
        <f>IF(B38="","",IFERROR(IF(OR(NOT(ISNUMBER(J38)),J38&lt;0),"Kiểm tra giờ hành chính",IF(OR(NOT(ISNUMBER(L38)),L38&lt;=0),"Nhập số năm",IF(OR(NOT(ISNUMBER(P38)),P38&lt;1,P38&lt;&gt;INT(P38)),"Số thành viên phải là số nguyên từ 1",IF(NOT(OR(TRIM(N38)="Chủ nhiệm",TRIM(N38)="Chủ biên",TRIM(N38)="Tác giả chính",TRIM(N38)="Tham gia")),"Chọn chức năng",IF(AND(Q38&lt;&gt;"",OR(NOT(ISNUMBER(Q38)),Q38&lt;0,Q38&gt;100)),"Tỷ lệ đóng góp phải từ 0 đến 100",IF(OR(NOT(ISNUMBER('Quy doi'!$J$5)),'Quy doi'!$J$5&lt;&gt;3),"Quy doi!J5 phải là số 3",ROUND(J38/L38/'Quy doi'!$J$5*IF(P38=1,1,IF(TRIM(N38)="Tham gia",0,IF(P38=2,2/3,IF(P38=3,1/2,1/3)))+(1-IF(P38=2,2/3,IF(P38=3,1/2,1/3)))*IF(ISNUMBER(Q38),Q38/100,1/P38)),1))))))),"Lỗi ở ô nguồn"))</f>
        <v/>
      </c>
      <c r="S38" s="18"/>
    </row>
    <row r="39" spans="2:19" ht="28.2" customHeight="1" x14ac:dyDescent="0.3">
      <c r="B39" s="16"/>
      <c r="C39" s="60"/>
      <c r="D39" s="61"/>
      <c r="E39" s="61"/>
      <c r="F39" s="61"/>
      <c r="G39" s="61"/>
      <c r="H39" s="62"/>
      <c r="I39" s="17"/>
      <c r="J39" s="63" t="str">
        <f>IFERROR(CHOOSE(MATCH(B39,'Quy doi'!$E$3:$E$8,0),CHOOSE(MATCH(I39,'Quy doi'!$F$4:$F$7,0),1200,1800,2400,3600),CHOOSE(MATCH(I39,'Quy doi'!$F$4:$F$7,0),300,450,600,900),IF(I39='Quy doi'!$F$4,CHOOSE(MATCH(M39,'Quy doi'!$G$3:$G$5,0),300,250,200),NA()),1200,IF(I39='Quy doi'!$F$11,CHOOSE(MATCH(M39,'Quy doi'!$G$6:$G$8,0),1200,1000,800),CHOOSE(MATCH(I39,'Quy doi'!$F$9:$F$10,0),300,600)),CHOOSE(MATCH(I39,'Quy doi'!$F$3:$F$8,0),100,200,300,450,600,600)),"")</f>
        <v/>
      </c>
      <c r="K39" s="64"/>
      <c r="L39" s="15"/>
      <c r="M39" s="16"/>
      <c r="N39" s="65"/>
      <c r="O39" s="66"/>
      <c r="P39" s="15"/>
      <c r="Q39" s="15"/>
      <c r="R39" s="20" t="str">
        <f>IF(B39="","",IFERROR(IF(OR(NOT(ISNUMBER(J39)),J39&lt;0),"Kiểm tra giờ hành chính",IF(OR(NOT(ISNUMBER(L39)),L39&lt;=0),"Nhập số năm",IF(OR(NOT(ISNUMBER(P39)),P39&lt;1,P39&lt;&gt;INT(P39)),"Số thành viên phải là số nguyên từ 1",IF(NOT(OR(TRIM(N39)="Chủ nhiệm",TRIM(N39)="Chủ biên",TRIM(N39)="Tác giả chính",TRIM(N39)="Tham gia")),"Chọn chức năng",IF(AND(Q39&lt;&gt;"",OR(NOT(ISNUMBER(Q39)),Q39&lt;0,Q39&gt;100)),"Tỷ lệ đóng góp phải từ 0 đến 100",IF(OR(NOT(ISNUMBER('Quy doi'!$J$5)),'Quy doi'!$J$5&lt;&gt;3),"Quy doi!J5 phải là số 3",ROUND(J39/L39/'Quy doi'!$J$5*IF(P39=1,1,IF(TRIM(N39)="Tham gia",0,IF(P39=2,2/3,IF(P39=3,1/2,1/3)))+(1-IF(P39=2,2/3,IF(P39=3,1/2,1/3)))*IF(ISNUMBER(Q39),Q39/100,1/P39)),1))))))),"Lỗi ở ô nguồn"))</f>
        <v/>
      </c>
      <c r="S39" s="18"/>
    </row>
    <row r="40" spans="2:19" ht="28.2" customHeight="1" x14ac:dyDescent="0.3">
      <c r="B40" s="16"/>
      <c r="C40" s="70"/>
      <c r="D40" s="70"/>
      <c r="E40" s="70"/>
      <c r="F40" s="70"/>
      <c r="G40" s="70"/>
      <c r="H40" s="70"/>
      <c r="I40" s="17"/>
      <c r="J40" s="63" t="str">
        <f>IFERROR(CHOOSE(MATCH(B40,'Quy doi'!$E$3:$E$8,0),CHOOSE(MATCH(I40,'Quy doi'!$F$4:$F$7,0),1200,1800,2400,3600),CHOOSE(MATCH(I40,'Quy doi'!$F$4:$F$7,0),300,450,600,900),IF(I40='Quy doi'!$F$4,CHOOSE(MATCH(M40,'Quy doi'!$G$3:$G$5,0),300,250,200),NA()),1200,IF(I40='Quy doi'!$F$11,CHOOSE(MATCH(M40,'Quy doi'!$G$6:$G$8,0),1200,1000,800),CHOOSE(MATCH(I40,'Quy doi'!$F$9:$F$10,0),300,600)),CHOOSE(MATCH(I40,'Quy doi'!$F$3:$F$8,0),100,200,300,450,600,600)),"")</f>
        <v/>
      </c>
      <c r="K40" s="64"/>
      <c r="L40" s="15"/>
      <c r="M40" s="16"/>
      <c r="N40" s="65"/>
      <c r="O40" s="66"/>
      <c r="P40" s="15"/>
      <c r="Q40" s="15"/>
      <c r="R40" s="20" t="str">
        <f>IF(B40="","",IFERROR(IF(OR(NOT(ISNUMBER(J40)),J40&lt;0),"Kiểm tra giờ hành chính",IF(OR(NOT(ISNUMBER(L40)),L40&lt;=0),"Nhập số năm",IF(OR(NOT(ISNUMBER(P40)),P40&lt;1,P40&lt;&gt;INT(P40)),"Số thành viên phải là số nguyên từ 1",IF(NOT(OR(TRIM(N40)="Chủ nhiệm",TRIM(N40)="Chủ biên",TRIM(N40)="Tác giả chính",TRIM(N40)="Tham gia")),"Chọn chức năng",IF(AND(Q40&lt;&gt;"",OR(NOT(ISNUMBER(Q40)),Q40&lt;0,Q40&gt;100)),"Tỷ lệ đóng góp phải từ 0 đến 100",IF(OR(NOT(ISNUMBER('Quy doi'!$J$5)),'Quy doi'!$J$5&lt;&gt;3),"Quy doi!J5 phải là số 3",ROUND(J40/L40/'Quy doi'!$J$5*IF(P40=1,1,IF(TRIM(N40)="Tham gia",0,IF(P40=2,2/3,IF(P40=3,1/2,1/3)))+(1-IF(P40=2,2/3,IF(P40=3,1/2,1/3)))*IF(ISNUMBER(Q40),Q40/100,1/P40)),1))))))),"Lỗi ở ô nguồn"))</f>
        <v/>
      </c>
      <c r="S40" s="18"/>
    </row>
    <row r="41" spans="2:19" ht="28.2" customHeight="1" x14ac:dyDescent="0.3">
      <c r="B41" s="16"/>
      <c r="C41" s="70"/>
      <c r="D41" s="70"/>
      <c r="E41" s="70"/>
      <c r="F41" s="70"/>
      <c r="G41" s="70"/>
      <c r="H41" s="70"/>
      <c r="I41" s="17"/>
      <c r="J41" s="63" t="str">
        <f>IFERROR(CHOOSE(MATCH(B41,'Quy doi'!$E$3:$E$8,0),CHOOSE(MATCH(I41,'Quy doi'!$F$4:$F$7,0),1200,1800,2400,3600),CHOOSE(MATCH(I41,'Quy doi'!$F$4:$F$7,0),300,450,600,900),IF(I41='Quy doi'!$F$4,CHOOSE(MATCH(M41,'Quy doi'!$G$3:$G$5,0),300,250,200),NA()),1200,IF(I41='Quy doi'!$F$11,CHOOSE(MATCH(M41,'Quy doi'!$G$6:$G$8,0),1200,1000,800),CHOOSE(MATCH(I41,'Quy doi'!$F$9:$F$10,0),300,600)),CHOOSE(MATCH(I41,'Quy doi'!$F$3:$F$8,0),100,200,300,450,600,600)),"")</f>
        <v/>
      </c>
      <c r="K41" s="64"/>
      <c r="L41" s="15"/>
      <c r="M41" s="16"/>
      <c r="N41" s="65"/>
      <c r="O41" s="66"/>
      <c r="P41" s="15"/>
      <c r="Q41" s="15"/>
      <c r="R41" s="20" t="str">
        <f>IF(B41="","",IFERROR(IF(OR(NOT(ISNUMBER(J41)),J41&lt;0),"Kiểm tra giờ hành chính",IF(OR(NOT(ISNUMBER(L41)),L41&lt;=0),"Nhập số năm",IF(OR(NOT(ISNUMBER(P41)),P41&lt;1,P41&lt;&gt;INT(P41)),"Số thành viên phải là số nguyên từ 1",IF(NOT(OR(TRIM(N41)="Chủ nhiệm",TRIM(N41)="Chủ biên",TRIM(N41)="Tác giả chính",TRIM(N41)="Tham gia")),"Chọn chức năng",IF(AND(Q41&lt;&gt;"",OR(NOT(ISNUMBER(Q41)),Q41&lt;0,Q41&gt;100)),"Tỷ lệ đóng góp phải từ 0 đến 100",IF(OR(NOT(ISNUMBER('Quy doi'!$J$5)),'Quy doi'!$J$5&lt;&gt;3),"Quy doi!J5 phải là số 3",ROUND(J41/L41/'Quy doi'!$J$5*IF(P41=1,1,IF(TRIM(N41)="Tham gia",0,IF(P41=2,2/3,IF(P41=3,1/2,1/3)))+(1-IF(P41=2,2/3,IF(P41=3,1/2,1/3)))*IF(ISNUMBER(Q41),Q41/100,1/P41)),1))))))),"Lỗi ở ô nguồn"))</f>
        <v/>
      </c>
      <c r="S41" s="18"/>
    </row>
    <row r="42" spans="2:19" s="3" customFormat="1" ht="20.399999999999999" customHeight="1" x14ac:dyDescent="0.25">
      <c r="B42" s="72" t="s">
        <v>52</v>
      </c>
      <c r="C42" s="76"/>
      <c r="D42" s="76"/>
      <c r="E42" s="76"/>
      <c r="F42" s="76"/>
      <c r="G42" s="76"/>
      <c r="H42" s="76"/>
      <c r="I42" s="73"/>
      <c r="J42" s="74">
        <f>SUM(J31:K41)</f>
        <v>1500</v>
      </c>
      <c r="K42" s="75"/>
      <c r="L42" s="41"/>
      <c r="M42" s="41"/>
      <c r="N42" s="72"/>
      <c r="O42" s="73"/>
      <c r="P42" s="41"/>
      <c r="Q42" s="41"/>
      <c r="R42" s="21">
        <f>SUM(R31:R41)</f>
        <v>100</v>
      </c>
      <c r="S42" s="41"/>
    </row>
    <row r="43" spans="2:19" s="3" customFormat="1" ht="5.4" customHeight="1" x14ac:dyDescent="0.25"/>
    <row r="44" spans="2:19" s="3" customFormat="1" ht="20.399999999999999" customHeight="1" x14ac:dyDescent="0.25">
      <c r="B44" s="94" t="s">
        <v>155</v>
      </c>
      <c r="C44" s="110"/>
      <c r="D44" s="110"/>
      <c r="E44" s="110"/>
      <c r="F44" s="110"/>
      <c r="G44" s="110"/>
      <c r="H44" s="110"/>
      <c r="I44" s="110"/>
      <c r="J44" s="110"/>
      <c r="K44" s="110"/>
      <c r="L44" s="110"/>
      <c r="M44" s="110"/>
      <c r="N44" s="110"/>
      <c r="O44" s="110"/>
      <c r="P44" s="110"/>
      <c r="Q44" s="110"/>
      <c r="R44" s="110"/>
      <c r="S44" s="110"/>
    </row>
    <row r="45" spans="2:19" s="3" customFormat="1" ht="20.399999999999999" customHeight="1" x14ac:dyDescent="0.25">
      <c r="B45" s="69" t="s">
        <v>161</v>
      </c>
      <c r="C45" s="69"/>
      <c r="D45" s="69"/>
      <c r="E45" s="69"/>
      <c r="F45" s="69"/>
      <c r="G45" s="69"/>
      <c r="H45" s="69"/>
      <c r="I45" s="69" t="s">
        <v>158</v>
      </c>
      <c r="J45" s="69"/>
      <c r="K45" s="69"/>
      <c r="L45" s="69"/>
      <c r="M45" s="69"/>
      <c r="N45" s="69"/>
      <c r="O45" s="69"/>
      <c r="P45" s="136" t="s">
        <v>163</v>
      </c>
      <c r="Q45" s="137"/>
      <c r="R45" s="138"/>
      <c r="S45" s="69" t="s">
        <v>51</v>
      </c>
    </row>
    <row r="46" spans="2:19" s="3" customFormat="1" ht="20.399999999999999" customHeight="1" x14ac:dyDescent="0.25">
      <c r="B46" s="69"/>
      <c r="C46" s="69"/>
      <c r="D46" s="69"/>
      <c r="E46" s="69"/>
      <c r="F46" s="69"/>
      <c r="G46" s="69"/>
      <c r="H46" s="69"/>
      <c r="I46" s="36" t="s">
        <v>159</v>
      </c>
      <c r="J46" s="69" t="s">
        <v>160</v>
      </c>
      <c r="K46" s="69"/>
      <c r="L46" s="69"/>
      <c r="M46" s="69" t="s">
        <v>162</v>
      </c>
      <c r="N46" s="69"/>
      <c r="O46" s="69"/>
      <c r="P46" s="139"/>
      <c r="Q46" s="140"/>
      <c r="R46" s="141"/>
      <c r="S46" s="69"/>
    </row>
    <row r="47" spans="2:19" s="3" customFormat="1" ht="16.2" customHeight="1" x14ac:dyDescent="0.25">
      <c r="B47" s="142" t="s">
        <v>157</v>
      </c>
      <c r="C47" s="143"/>
      <c r="D47" s="143"/>
      <c r="E47" s="143"/>
      <c r="F47" s="143"/>
      <c r="G47" s="143"/>
      <c r="H47" s="144"/>
      <c r="I47" s="59"/>
      <c r="J47" s="145"/>
      <c r="K47" s="145"/>
      <c r="L47" s="145"/>
      <c r="M47" s="145"/>
      <c r="N47" s="145"/>
      <c r="O47" s="145"/>
      <c r="P47" s="146" t="str">
        <f>IF(AND(I47="",J47="",M47=""),"",ROUND((I47*75+J47*30+M47*30)/3,1))</f>
        <v/>
      </c>
      <c r="Q47" s="147"/>
      <c r="R47" s="148"/>
      <c r="S47" s="32"/>
    </row>
    <row r="48" spans="2:19" s="3" customFormat="1" ht="16.2" customHeight="1" x14ac:dyDescent="0.25">
      <c r="B48" s="142" t="s">
        <v>128</v>
      </c>
      <c r="C48" s="143"/>
      <c r="D48" s="143"/>
      <c r="E48" s="143"/>
      <c r="F48" s="143"/>
      <c r="G48" s="143"/>
      <c r="H48" s="144"/>
      <c r="I48" s="59"/>
      <c r="J48" s="145"/>
      <c r="K48" s="145"/>
      <c r="L48" s="145"/>
      <c r="M48" s="145"/>
      <c r="N48" s="145"/>
      <c r="O48" s="145"/>
      <c r="P48" s="146" t="str">
        <f>IF(AND(I48="",J48="",M48=""),"",ROUND((I48*300+J48*250+M48*200)/3,1))</f>
        <v/>
      </c>
      <c r="Q48" s="147"/>
      <c r="R48" s="148"/>
      <c r="S48" s="32"/>
    </row>
    <row r="49" spans="2:19" s="3" customFormat="1" ht="16.2" customHeight="1" x14ac:dyDescent="0.25">
      <c r="B49" s="133" t="s">
        <v>52</v>
      </c>
      <c r="C49" s="134"/>
      <c r="D49" s="134"/>
      <c r="E49" s="134"/>
      <c r="F49" s="134"/>
      <c r="G49" s="134"/>
      <c r="H49" s="134"/>
      <c r="I49" s="37" t="str">
        <f>IF(AND(I47="",I48=""),"",ROUND(I47+I48,0))</f>
        <v/>
      </c>
      <c r="J49" s="135" t="str">
        <f>IF(AND(J47="",J48=""),"",ROUND(J47+J48,0))</f>
        <v/>
      </c>
      <c r="K49" s="135"/>
      <c r="L49" s="135"/>
      <c r="M49" s="135" t="str">
        <f>IF(AND(M47="",M48=""),"",ROUND(M47+M48,))</f>
        <v/>
      </c>
      <c r="N49" s="135"/>
      <c r="O49" s="135"/>
      <c r="P49" s="132" t="str">
        <f>IF(AND(P47="",P48=""),"",ROUND(P47+P48,1))</f>
        <v/>
      </c>
      <c r="Q49" s="132"/>
      <c r="R49" s="132"/>
      <c r="S49" s="38"/>
    </row>
    <row r="50" spans="2:19" s="3" customFormat="1" ht="8.4" customHeight="1" x14ac:dyDescent="0.25"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40"/>
      <c r="Q50" s="34"/>
      <c r="R50" s="34"/>
      <c r="S50" s="35"/>
    </row>
    <row r="51" spans="2:19" s="3" customFormat="1" ht="19.8" customHeight="1" x14ac:dyDescent="0.25">
      <c r="B51" s="77" t="s">
        <v>168</v>
      </c>
      <c r="C51" s="78"/>
      <c r="D51" s="78"/>
      <c r="E51" s="78"/>
      <c r="F51" s="78"/>
      <c r="G51" s="78"/>
      <c r="H51" s="78"/>
      <c r="I51" s="78"/>
      <c r="J51" s="78"/>
      <c r="K51" s="78"/>
      <c r="L51" s="78"/>
      <c r="M51" s="78"/>
      <c r="N51" s="78"/>
      <c r="O51" s="78"/>
      <c r="P51" s="78"/>
      <c r="Q51" s="78"/>
      <c r="R51" s="78"/>
      <c r="S51" s="78"/>
    </row>
    <row r="52" spans="2:19" s="3" customFormat="1" ht="16.2" customHeight="1" x14ac:dyDescent="0.25">
      <c r="B52" s="69" t="s">
        <v>53</v>
      </c>
      <c r="C52" s="69"/>
      <c r="D52" s="69"/>
      <c r="E52" s="69"/>
      <c r="F52" s="69"/>
      <c r="G52" s="69"/>
      <c r="H52" s="69"/>
      <c r="I52" s="69"/>
      <c r="J52" s="69" t="s">
        <v>54</v>
      </c>
      <c r="K52" s="69"/>
      <c r="L52" s="69"/>
      <c r="M52" s="69"/>
      <c r="N52" s="69"/>
      <c r="O52" s="71" t="s">
        <v>16</v>
      </c>
      <c r="P52" s="71"/>
      <c r="Q52" s="71"/>
      <c r="R52" s="71"/>
      <c r="S52" s="36" t="s">
        <v>51</v>
      </c>
    </row>
    <row r="53" spans="2:19" s="3" customFormat="1" ht="16.2" customHeight="1" x14ac:dyDescent="0.25">
      <c r="B53" s="116" t="s">
        <v>65</v>
      </c>
      <c r="C53" s="116"/>
      <c r="D53" s="116"/>
      <c r="E53" s="116"/>
      <c r="F53" s="116"/>
      <c r="G53" s="116"/>
      <c r="H53" s="116"/>
      <c r="I53" s="116"/>
      <c r="J53" s="117">
        <v>0</v>
      </c>
      <c r="K53" s="117"/>
      <c r="L53" s="117"/>
      <c r="M53" s="117"/>
      <c r="N53" s="117"/>
      <c r="O53" s="115">
        <f>$J$53*3/3</f>
        <v>0</v>
      </c>
      <c r="P53" s="115"/>
      <c r="Q53" s="115"/>
      <c r="R53" s="115"/>
      <c r="S53" s="19"/>
    </row>
    <row r="54" spans="2:19" s="3" customFormat="1" ht="16.2" customHeight="1" x14ac:dyDescent="0.25">
      <c r="B54" s="116" t="s">
        <v>66</v>
      </c>
      <c r="C54" s="116"/>
      <c r="D54" s="116"/>
      <c r="E54" s="116"/>
      <c r="F54" s="116"/>
      <c r="G54" s="116"/>
      <c r="H54" s="116"/>
      <c r="I54" s="116"/>
      <c r="J54" s="117">
        <v>0</v>
      </c>
      <c r="K54" s="117"/>
      <c r="L54" s="117"/>
      <c r="M54" s="117"/>
      <c r="N54" s="117"/>
      <c r="O54" s="115">
        <f>$J$54*6/3</f>
        <v>0</v>
      </c>
      <c r="P54" s="115"/>
      <c r="Q54" s="115"/>
      <c r="R54" s="115"/>
      <c r="S54" s="19"/>
    </row>
    <row r="55" spans="2:19" s="3" customFormat="1" ht="16.2" customHeight="1" x14ac:dyDescent="0.25">
      <c r="B55" s="118" t="s">
        <v>88</v>
      </c>
      <c r="C55" s="119"/>
      <c r="D55" s="119"/>
      <c r="E55" s="119"/>
      <c r="F55" s="119"/>
      <c r="G55" s="119"/>
      <c r="H55" s="119"/>
      <c r="I55" s="120"/>
      <c r="J55" s="121">
        <v>0</v>
      </c>
      <c r="K55" s="122"/>
      <c r="L55" s="122"/>
      <c r="M55" s="122"/>
      <c r="N55" s="123"/>
      <c r="O55" s="124">
        <f>$J$55*4/3</f>
        <v>0</v>
      </c>
      <c r="P55" s="125"/>
      <c r="Q55" s="125"/>
      <c r="R55" s="126"/>
      <c r="S55" s="19"/>
    </row>
    <row r="56" spans="2:19" s="3" customFormat="1" ht="16.2" customHeight="1" x14ac:dyDescent="0.25">
      <c r="B56" s="118" t="s">
        <v>89</v>
      </c>
      <c r="C56" s="119"/>
      <c r="D56" s="119"/>
      <c r="E56" s="119"/>
      <c r="F56" s="119"/>
      <c r="G56" s="119"/>
      <c r="H56" s="119"/>
      <c r="I56" s="120"/>
      <c r="J56" s="121">
        <v>0</v>
      </c>
      <c r="K56" s="122"/>
      <c r="L56" s="122"/>
      <c r="M56" s="122"/>
      <c r="N56" s="123"/>
      <c r="O56" s="124">
        <f>$J$56*3/3</f>
        <v>0</v>
      </c>
      <c r="P56" s="125"/>
      <c r="Q56" s="125"/>
      <c r="R56" s="126"/>
      <c r="S56" s="19"/>
    </row>
    <row r="57" spans="2:19" s="3" customFormat="1" ht="16.2" customHeight="1" x14ac:dyDescent="0.25">
      <c r="B57" s="79" t="s">
        <v>52</v>
      </c>
      <c r="C57" s="79"/>
      <c r="D57" s="79"/>
      <c r="E57" s="79"/>
      <c r="F57" s="79"/>
      <c r="G57" s="79"/>
      <c r="H57" s="79"/>
      <c r="I57" s="79"/>
      <c r="J57" s="114">
        <f>SUM(J53:N56)</f>
        <v>0</v>
      </c>
      <c r="K57" s="114"/>
      <c r="L57" s="114"/>
      <c r="M57" s="114"/>
      <c r="N57" s="114"/>
      <c r="O57" s="115">
        <f>SUM($O$53:$R$56)</f>
        <v>0</v>
      </c>
      <c r="P57" s="115"/>
      <c r="Q57" s="115"/>
      <c r="R57" s="115"/>
      <c r="S57" s="27"/>
    </row>
    <row r="58" spans="2:19" ht="21" customHeight="1" x14ac:dyDescent="0.3">
      <c r="B58" s="77" t="s">
        <v>169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</row>
    <row r="59" spans="2:19" ht="15.6" x14ac:dyDescent="0.3">
      <c r="B59" s="80" t="s">
        <v>55</v>
      </c>
      <c r="C59" s="80"/>
      <c r="D59" s="80"/>
      <c r="E59" s="80"/>
      <c r="F59" s="22"/>
      <c r="G59" s="22"/>
      <c r="H59" s="56">
        <f>IF(L4='Quy doi'!$A$23,280*30%,IF(E5="","",ROUND('Quy doi'!$J$3*E5*MAX(0,1-P5*10%),1)))</f>
        <v>168</v>
      </c>
      <c r="I59" s="22"/>
      <c r="J59" s="80" t="s">
        <v>56</v>
      </c>
      <c r="K59" s="80"/>
      <c r="L59" s="80"/>
      <c r="M59" s="80"/>
      <c r="N59" s="80"/>
      <c r="O59" s="80"/>
      <c r="P59" s="80"/>
      <c r="Q59" s="80"/>
      <c r="R59" s="56">
        <f>IF(L4="","",ROUND(IF(L4='Quy doi'!$A$23,200*30%,200-20*$P$5),1))</f>
        <v>120</v>
      </c>
      <c r="S59" s="23"/>
    </row>
    <row r="60" spans="2:19" ht="15.6" x14ac:dyDescent="0.3">
      <c r="B60" s="131" t="s">
        <v>57</v>
      </c>
      <c r="C60" s="131"/>
      <c r="D60" s="131"/>
      <c r="E60" s="131"/>
      <c r="F60" s="22"/>
      <c r="G60" s="22"/>
      <c r="H60" s="56">
        <f>$R$27</f>
        <v>0</v>
      </c>
      <c r="I60" s="22"/>
      <c r="J60" s="80" t="s">
        <v>58</v>
      </c>
      <c r="K60" s="80"/>
      <c r="L60" s="80"/>
      <c r="M60" s="80"/>
      <c r="N60" s="80"/>
      <c r="O60" s="80"/>
      <c r="P60" s="80"/>
      <c r="Q60" s="80"/>
      <c r="R60" s="58">
        <f>SUM($R$42, $O$57, $P$49)</f>
        <v>100</v>
      </c>
      <c r="S60" s="23"/>
    </row>
    <row r="61" spans="2:19" ht="15.6" x14ac:dyDescent="0.3">
      <c r="B61" s="80" t="s">
        <v>59</v>
      </c>
      <c r="C61" s="80"/>
      <c r="D61" s="80"/>
      <c r="E61" s="80"/>
      <c r="F61" s="22"/>
      <c r="G61" s="22"/>
      <c r="H61" s="56">
        <f>$H$60-$H$59</f>
        <v>-168</v>
      </c>
      <c r="I61" s="22"/>
      <c r="J61" s="80" t="s">
        <v>60</v>
      </c>
      <c r="K61" s="80"/>
      <c r="L61" s="80"/>
      <c r="M61" s="80"/>
      <c r="N61" s="80"/>
      <c r="O61" s="80"/>
      <c r="P61" s="80"/>
      <c r="Q61" s="80"/>
      <c r="R61" s="58">
        <f>R59-R60</f>
        <v>20</v>
      </c>
      <c r="S61" s="23"/>
    </row>
    <row r="62" spans="2:19" ht="16.2" x14ac:dyDescent="0.3">
      <c r="B62" s="129" t="s">
        <v>61</v>
      </c>
      <c r="C62" s="129"/>
      <c r="D62" s="129"/>
      <c r="E62" s="129"/>
      <c r="F62" s="129"/>
      <c r="G62" s="129"/>
      <c r="H62" s="57">
        <f>IF(OR(H59="", H60=""), "", IF(H60-H59&gt;=0, MAX(0, (H60-H59)-(R59-R60)), (H60-H59)-IF((R59-R60)&lt;0, R59-R60, 0)))</f>
        <v>-168</v>
      </c>
      <c r="I62" s="22"/>
      <c r="J62" s="128"/>
      <c r="K62" s="128"/>
      <c r="L62" s="128"/>
      <c r="M62" s="128"/>
      <c r="N62" s="128"/>
      <c r="O62" s="128"/>
      <c r="P62" s="128"/>
      <c r="Q62" s="128"/>
      <c r="R62" s="24"/>
      <c r="S62" s="23"/>
    </row>
    <row r="63" spans="2:19" ht="18.600000000000001" customHeight="1" x14ac:dyDescent="0.35">
      <c r="B63" s="29"/>
      <c r="C63" s="29"/>
      <c r="D63" s="29"/>
      <c r="E63" s="29"/>
      <c r="F63" s="29"/>
      <c r="G63" s="29"/>
      <c r="H63" s="29"/>
      <c r="I63" s="29"/>
      <c r="J63" s="130" t="s">
        <v>167</v>
      </c>
      <c r="K63" s="130"/>
      <c r="L63" s="130"/>
      <c r="M63" s="130"/>
      <c r="N63" s="130"/>
      <c r="O63" s="130"/>
      <c r="P63" s="130"/>
      <c r="Q63" s="130"/>
      <c r="R63" s="130"/>
      <c r="S63" s="130"/>
    </row>
    <row r="64" spans="2:19" ht="15" customHeight="1" x14ac:dyDescent="0.3">
      <c r="B64" s="67" t="s">
        <v>76</v>
      </c>
      <c r="C64" s="67"/>
      <c r="D64" s="67"/>
      <c r="E64" s="67"/>
      <c r="F64" s="67"/>
      <c r="G64" s="67"/>
      <c r="H64" s="67"/>
      <c r="I64" s="67"/>
      <c r="J64" s="29"/>
      <c r="K64" s="29"/>
      <c r="L64" s="29"/>
      <c r="M64" s="67" t="s">
        <v>166</v>
      </c>
      <c r="N64" s="67"/>
      <c r="O64" s="67"/>
      <c r="P64" s="67"/>
      <c r="Q64" s="67"/>
      <c r="R64" s="67"/>
      <c r="S64" s="67"/>
    </row>
    <row r="65" spans="2:19" ht="15.75" customHeight="1" x14ac:dyDescent="0.3">
      <c r="B65" s="127"/>
      <c r="C65" s="127"/>
      <c r="D65" s="127"/>
      <c r="E65" s="127"/>
      <c r="F65" s="127"/>
      <c r="G65" s="127"/>
      <c r="H65" s="127"/>
      <c r="I65" s="127"/>
      <c r="J65" s="29"/>
      <c r="K65" s="29"/>
      <c r="L65" s="29"/>
      <c r="M65" s="127"/>
      <c r="N65" s="127"/>
      <c r="O65" s="127"/>
      <c r="P65" s="127"/>
      <c r="Q65" s="127"/>
      <c r="R65" s="127"/>
      <c r="S65" s="127"/>
    </row>
    <row r="66" spans="2:19" ht="30.6" customHeight="1" x14ac:dyDescent="0.3"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30"/>
      <c r="S66" s="29"/>
    </row>
    <row r="67" spans="2:19" ht="17.25" customHeight="1" x14ac:dyDescent="0.3"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30"/>
      <c r="S67" s="29"/>
    </row>
    <row r="68" spans="2:19" ht="18" x14ac:dyDescent="0.3">
      <c r="B68" s="67" t="s">
        <v>84</v>
      </c>
      <c r="C68" s="68"/>
      <c r="D68" s="68"/>
      <c r="E68" s="68"/>
      <c r="F68" s="68"/>
      <c r="G68" s="68"/>
      <c r="H68" s="68"/>
      <c r="I68" s="68"/>
      <c r="J68" s="29"/>
      <c r="K68" s="29"/>
      <c r="L68" s="29"/>
      <c r="M68" s="67" t="s">
        <v>85</v>
      </c>
      <c r="N68" s="68"/>
      <c r="O68" s="68"/>
      <c r="P68" s="68"/>
      <c r="Q68" s="68"/>
      <c r="R68" s="68"/>
      <c r="S68" s="68"/>
    </row>
    <row r="69" spans="2:19" x14ac:dyDescent="0.3">
      <c r="R69" s="4"/>
    </row>
  </sheetData>
  <sheetProtection algorithmName="SHA-512" hashValue="5UeMD+yW9J29hRGkDdLqTcq0SQcXbtvGD6gVwc62I+DDmkWZBWrer/bZJQCmQkGJrRi9n3P73/L6C53Kvxk3Aw==" saltValue="Io/fEXGNSHP3XJNh/p1kFQ==" spinCount="100000" sheet="1" objects="1" scenarios="1" insertRows="0" deleteRows="0"/>
  <mergeCells count="119">
    <mergeCell ref="N34:O34"/>
    <mergeCell ref="N35:O35"/>
    <mergeCell ref="N36:O36"/>
    <mergeCell ref="N37:O37"/>
    <mergeCell ref="N38:O38"/>
    <mergeCell ref="C34:H34"/>
    <mergeCell ref="C35:H35"/>
    <mergeCell ref="C36:H36"/>
    <mergeCell ref="C37:H37"/>
    <mergeCell ref="C38:H38"/>
    <mergeCell ref="J34:K34"/>
    <mergeCell ref="J35:K35"/>
    <mergeCell ref="J36:K36"/>
    <mergeCell ref="J37:K37"/>
    <mergeCell ref="J38:K38"/>
    <mergeCell ref="P49:R49"/>
    <mergeCell ref="B49:H49"/>
    <mergeCell ref="J49:L49"/>
    <mergeCell ref="M49:O49"/>
    <mergeCell ref="S45:S46"/>
    <mergeCell ref="P45:R46"/>
    <mergeCell ref="I45:O45"/>
    <mergeCell ref="B45:H46"/>
    <mergeCell ref="B44:S44"/>
    <mergeCell ref="B47:H47"/>
    <mergeCell ref="B48:H48"/>
    <mergeCell ref="J46:L46"/>
    <mergeCell ref="M46:O46"/>
    <mergeCell ref="J47:L47"/>
    <mergeCell ref="J48:L48"/>
    <mergeCell ref="M47:O47"/>
    <mergeCell ref="M48:O48"/>
    <mergeCell ref="P47:R47"/>
    <mergeCell ref="P48:R48"/>
    <mergeCell ref="B64:I64"/>
    <mergeCell ref="M64:S64"/>
    <mergeCell ref="B65:I65"/>
    <mergeCell ref="M65:S65"/>
    <mergeCell ref="J62:Q62"/>
    <mergeCell ref="B62:G62"/>
    <mergeCell ref="J63:S63"/>
    <mergeCell ref="B61:E61"/>
    <mergeCell ref="B60:E60"/>
    <mergeCell ref="J60:Q60"/>
    <mergeCell ref="J61:Q61"/>
    <mergeCell ref="J57:N57"/>
    <mergeCell ref="O57:R57"/>
    <mergeCell ref="B51:S51"/>
    <mergeCell ref="O53:R53"/>
    <mergeCell ref="O54:R54"/>
    <mergeCell ref="B53:I53"/>
    <mergeCell ref="B54:I54"/>
    <mergeCell ref="J53:N53"/>
    <mergeCell ref="J54:N54"/>
    <mergeCell ref="B55:I55"/>
    <mergeCell ref="B56:I56"/>
    <mergeCell ref="J55:N55"/>
    <mergeCell ref="J56:N56"/>
    <mergeCell ref="O55:R55"/>
    <mergeCell ref="O56:R56"/>
    <mergeCell ref="J31:K31"/>
    <mergeCell ref="J32:K32"/>
    <mergeCell ref="C31:H31"/>
    <mergeCell ref="C32:H32"/>
    <mergeCell ref="N31:O31"/>
    <mergeCell ref="N32:O32"/>
    <mergeCell ref="B27:D27"/>
    <mergeCell ref="B29:S29"/>
    <mergeCell ref="J30:K30"/>
    <mergeCell ref="C30:H30"/>
    <mergeCell ref="N30:O30"/>
    <mergeCell ref="Q8:Q11"/>
    <mergeCell ref="K9:K11"/>
    <mergeCell ref="S8:S11"/>
    <mergeCell ref="F1:H1"/>
    <mergeCell ref="O1:S1"/>
    <mergeCell ref="B2:S2"/>
    <mergeCell ref="B6:S6"/>
    <mergeCell ref="B8:B11"/>
    <mergeCell ref="C8:C11"/>
    <mergeCell ref="D8:D11"/>
    <mergeCell ref="R8:R11"/>
    <mergeCell ref="E10:F10"/>
    <mergeCell ref="G10:H10"/>
    <mergeCell ref="E9:H9"/>
    <mergeCell ref="P9:P11"/>
    <mergeCell ref="I9:I11"/>
    <mergeCell ref="M8:P8"/>
    <mergeCell ref="J9:J11"/>
    <mergeCell ref="E8:I8"/>
    <mergeCell ref="L9:L11"/>
    <mergeCell ref="J8:L8"/>
    <mergeCell ref="O9:O11"/>
    <mergeCell ref="N9:N11"/>
    <mergeCell ref="M9:M11"/>
    <mergeCell ref="C33:H33"/>
    <mergeCell ref="C39:H39"/>
    <mergeCell ref="J33:K33"/>
    <mergeCell ref="J39:K39"/>
    <mergeCell ref="N33:O33"/>
    <mergeCell ref="N39:O39"/>
    <mergeCell ref="B68:I68"/>
    <mergeCell ref="M68:S68"/>
    <mergeCell ref="J40:K40"/>
    <mergeCell ref="B52:I52"/>
    <mergeCell ref="C40:H40"/>
    <mergeCell ref="N40:O40"/>
    <mergeCell ref="J41:K41"/>
    <mergeCell ref="C41:H41"/>
    <mergeCell ref="O52:R52"/>
    <mergeCell ref="N41:O41"/>
    <mergeCell ref="J52:N52"/>
    <mergeCell ref="N42:O42"/>
    <mergeCell ref="J42:K42"/>
    <mergeCell ref="B42:I42"/>
    <mergeCell ref="B58:S58"/>
    <mergeCell ref="B57:I57"/>
    <mergeCell ref="B59:E59"/>
    <mergeCell ref="J59:Q59"/>
  </mergeCells>
  <phoneticPr fontId="16" type="noConversion"/>
  <dataValidations count="4">
    <dataValidation type="list" allowBlank="1" showInputMessage="1" showErrorMessage="1" sqref="N12:N26 J12:J26" xr:uid="{00000000-0002-0000-0000-000000000000}">
      <formula1>"TN, Viết, VĐ, TH"</formula1>
    </dataValidation>
    <dataValidation type="list" allowBlank="1" showInputMessage="1" showErrorMessage="1" sqref="M12:M26" xr:uid="{00000000-0002-0000-0000-000001000000}">
      <formula1>"BS, HC"</formula1>
    </dataValidation>
    <dataValidation type="list" allowBlank="1" showInputMessage="1" showErrorMessage="1" sqref="P5" xr:uid="{00000000-0002-0000-0000-000005000000}">
      <formula1>"0,1,2,3,4,5,6,7,8,9,10"</formula1>
    </dataValidation>
    <dataValidation type="list" allowBlank="1" showInputMessage="1" showErrorMessage="1" sqref="N31:O41" xr:uid="{055A5F6E-A738-4D4E-BBCD-B5DFE6A4E530}">
      <formula1>"Chủ nhiệm, Chủ biên, Tác giả chính, Tham gia"</formula1>
    </dataValidation>
  </dataValidations>
  <pageMargins left="0.39370078740157499" right="0.39370078740157499" top="0.261811024" bottom="0.20866141699999999" header="0.31496062992126" footer="0.31496062992126"/>
  <pageSetup paperSize="9" scale="9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000-000004000000}">
          <x14:formula1>
            <xm:f>'Quy doi'!$A$3:$A$25</xm:f>
          </x14:formula1>
          <xm:sqref>L4</xm:sqref>
        </x14:dataValidation>
        <x14:dataValidation type="list" allowBlank="1" showInputMessage="1" showErrorMessage="1" xr:uid="{00000000-0002-0000-0000-000006000000}">
          <x14:formula1>
            <xm:f>'Quy doi'!$E$21:$E$44</xm:f>
          </x14:formula1>
          <xm:sqref>D3</xm:sqref>
        </x14:dataValidation>
        <x14:dataValidation type="list" allowBlank="1" showInputMessage="1" showErrorMessage="1" xr:uid="{EFD4FD4F-751A-4C1F-9607-544F352DB0D0}">
          <x14:formula1>
            <xm:f>'Quy doi'!$F$3:$F$11</xm:f>
          </x14:formula1>
          <xm:sqref>I31:I41</xm:sqref>
        </x14:dataValidation>
        <x14:dataValidation type="list" allowBlank="1" showInputMessage="1" showErrorMessage="1" xr:uid="{72282956-438F-4087-9946-6F9E6E9AEF59}">
          <x14:formula1>
            <xm:f>'Quy doi'!$G$3:$G$8</xm:f>
          </x14:formula1>
          <xm:sqref>M31:M41</xm:sqref>
        </x14:dataValidation>
        <x14:dataValidation type="list" allowBlank="1" showInputMessage="1" showErrorMessage="1" xr:uid="{B1CF26B8-7F7B-4ED5-8ABD-8BF7F29724CE}">
          <x14:formula1>
            <xm:f>'Quy doi'!$E$3:$E$8</xm:f>
          </x14:formula1>
          <xm:sqref>B31:B41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CD73D-431A-4800-862D-9AEA9EDE4EC9}">
  <dimension ref="A1:J44"/>
  <sheetViews>
    <sheetView zoomScale="75" zoomScaleNormal="75" workbookViewId="0">
      <selection activeCell="J4" sqref="J4"/>
    </sheetView>
  </sheetViews>
  <sheetFormatPr defaultRowHeight="14.4" x14ac:dyDescent="0.3"/>
  <cols>
    <col min="1" max="1" width="41.5546875" style="45" customWidth="1"/>
    <col min="2" max="2" width="10.6640625" style="45" customWidth="1"/>
    <col min="3" max="3" width="13.88671875" style="45" customWidth="1"/>
    <col min="4" max="4" width="5.33203125" style="45" customWidth="1"/>
    <col min="5" max="5" width="48.109375" style="45" customWidth="1"/>
    <col min="6" max="6" width="38.77734375" style="45" customWidth="1"/>
    <col min="7" max="7" width="23.88671875" style="45" customWidth="1"/>
    <col min="8" max="8" width="6.88671875" style="45" customWidth="1"/>
    <col min="9" max="9" width="41.44140625" style="45" customWidth="1"/>
    <col min="10" max="10" width="8.88671875" style="45" customWidth="1"/>
    <col min="11" max="16384" width="8.88671875" style="45"/>
  </cols>
  <sheetData>
    <row r="1" spans="1:10" ht="27" customHeight="1" x14ac:dyDescent="0.3">
      <c r="A1" s="149" t="s">
        <v>117</v>
      </c>
      <c r="B1" s="149"/>
      <c r="C1" s="149"/>
      <c r="D1" s="149"/>
      <c r="E1" s="149"/>
      <c r="F1" s="149"/>
      <c r="G1" s="149"/>
      <c r="H1" s="149"/>
      <c r="I1" s="149"/>
      <c r="J1" s="149"/>
    </row>
    <row r="2" spans="1:10" x14ac:dyDescent="0.3">
      <c r="A2" s="46" t="s">
        <v>48</v>
      </c>
      <c r="B2" s="47" t="s">
        <v>92</v>
      </c>
      <c r="C2" s="47" t="s">
        <v>93</v>
      </c>
      <c r="E2" s="46" t="s">
        <v>97</v>
      </c>
      <c r="F2" s="48" t="s">
        <v>98</v>
      </c>
      <c r="G2" s="49" t="s">
        <v>47</v>
      </c>
      <c r="I2" s="46" t="s">
        <v>110</v>
      </c>
      <c r="J2" s="48" t="s">
        <v>111</v>
      </c>
    </row>
    <row r="3" spans="1:10" x14ac:dyDescent="0.3">
      <c r="A3" s="50" t="s">
        <v>62</v>
      </c>
      <c r="B3" s="51">
        <v>0.1</v>
      </c>
      <c r="C3" s="52">
        <v>28</v>
      </c>
      <c r="E3" s="50" t="s">
        <v>99</v>
      </c>
      <c r="F3" s="50" t="s">
        <v>100</v>
      </c>
      <c r="G3" s="53" t="s">
        <v>119</v>
      </c>
      <c r="I3" s="50" t="s">
        <v>112</v>
      </c>
      <c r="J3" s="50">
        <v>280</v>
      </c>
    </row>
    <row r="4" spans="1:10" x14ac:dyDescent="0.3">
      <c r="A4" s="50" t="s">
        <v>63</v>
      </c>
      <c r="B4" s="51">
        <v>0.1</v>
      </c>
      <c r="C4" s="52">
        <v>28</v>
      </c>
      <c r="E4" s="50" t="s">
        <v>83</v>
      </c>
      <c r="F4" s="50" t="s">
        <v>87</v>
      </c>
      <c r="G4" s="53" t="s">
        <v>120</v>
      </c>
      <c r="I4" s="50" t="s">
        <v>113</v>
      </c>
      <c r="J4" s="50">
        <v>600</v>
      </c>
    </row>
    <row r="5" spans="1:10" x14ac:dyDescent="0.3">
      <c r="A5" s="50" t="s">
        <v>6</v>
      </c>
      <c r="B5" s="51">
        <v>0.15</v>
      </c>
      <c r="C5" s="52">
        <v>42</v>
      </c>
      <c r="E5" s="50" t="s">
        <v>101</v>
      </c>
      <c r="F5" s="50" t="s">
        <v>102</v>
      </c>
      <c r="G5" s="53" t="s">
        <v>118</v>
      </c>
      <c r="I5" s="50" t="s">
        <v>114</v>
      </c>
      <c r="J5" s="50">
        <v>3</v>
      </c>
    </row>
    <row r="6" spans="1:10" x14ac:dyDescent="0.3">
      <c r="A6" s="50" t="s">
        <v>64</v>
      </c>
      <c r="B6" s="51">
        <v>0.15</v>
      </c>
      <c r="C6" s="52">
        <v>42</v>
      </c>
      <c r="E6" s="50" t="s">
        <v>109</v>
      </c>
      <c r="F6" s="50" t="s">
        <v>108</v>
      </c>
      <c r="G6" s="53" t="s">
        <v>124</v>
      </c>
      <c r="I6" s="50" t="s">
        <v>115</v>
      </c>
      <c r="J6" s="54">
        <v>0.5</v>
      </c>
    </row>
    <row r="7" spans="1:10" x14ac:dyDescent="0.3">
      <c r="A7" s="50" t="s">
        <v>67</v>
      </c>
      <c r="B7" s="51">
        <v>0.2</v>
      </c>
      <c r="C7" s="52">
        <v>56</v>
      </c>
      <c r="E7" s="50" t="s">
        <v>91</v>
      </c>
      <c r="F7" s="50" t="s">
        <v>103</v>
      </c>
      <c r="G7" s="53" t="s">
        <v>126</v>
      </c>
      <c r="I7" s="50" t="s">
        <v>116</v>
      </c>
      <c r="J7" s="54">
        <v>0.1</v>
      </c>
    </row>
    <row r="8" spans="1:10" x14ac:dyDescent="0.3">
      <c r="A8" s="50" t="s">
        <v>68</v>
      </c>
      <c r="B8" s="51">
        <v>0.25</v>
      </c>
      <c r="C8" s="52">
        <v>70</v>
      </c>
      <c r="E8" s="50" t="s">
        <v>107</v>
      </c>
      <c r="F8" s="50" t="s">
        <v>104</v>
      </c>
      <c r="G8" s="53" t="s">
        <v>125</v>
      </c>
    </row>
    <row r="9" spans="1:10" x14ac:dyDescent="0.3">
      <c r="A9" s="50" t="s">
        <v>69</v>
      </c>
      <c r="B9" s="51">
        <v>0.25</v>
      </c>
      <c r="C9" s="52">
        <v>70</v>
      </c>
      <c r="E9" s="53"/>
      <c r="F9" s="50" t="s">
        <v>105</v>
      </c>
    </row>
    <row r="10" spans="1:10" x14ac:dyDescent="0.3">
      <c r="A10" s="50" t="s">
        <v>70</v>
      </c>
      <c r="B10" s="51">
        <v>0.6</v>
      </c>
      <c r="C10" s="52">
        <v>168</v>
      </c>
      <c r="E10" s="53"/>
      <c r="F10" s="50" t="s">
        <v>106</v>
      </c>
    </row>
    <row r="11" spans="1:10" x14ac:dyDescent="0.3">
      <c r="A11" s="50" t="s">
        <v>71</v>
      </c>
      <c r="B11" s="51">
        <v>0.45</v>
      </c>
      <c r="C11" s="52">
        <v>126</v>
      </c>
      <c r="F11" s="53" t="s">
        <v>127</v>
      </c>
    </row>
    <row r="12" spans="1:10" x14ac:dyDescent="0.3">
      <c r="A12" s="50" t="s">
        <v>72</v>
      </c>
      <c r="B12" s="51">
        <v>0.5</v>
      </c>
      <c r="C12" s="52">
        <v>140</v>
      </c>
      <c r="F12" s="53"/>
      <c r="G12" s="50"/>
    </row>
    <row r="13" spans="1:10" x14ac:dyDescent="0.3">
      <c r="A13" s="50" t="s">
        <v>73</v>
      </c>
      <c r="B13" s="51">
        <v>0.7</v>
      </c>
      <c r="C13" s="52">
        <v>196</v>
      </c>
      <c r="E13" s="150" t="s">
        <v>129</v>
      </c>
      <c r="F13" s="151"/>
      <c r="G13" s="152"/>
    </row>
    <row r="14" spans="1:10" ht="27.6" x14ac:dyDescent="0.3">
      <c r="A14" s="50" t="s">
        <v>74</v>
      </c>
      <c r="B14" s="51">
        <v>0.55000000000000004</v>
      </c>
      <c r="C14" s="52">
        <v>154</v>
      </c>
      <c r="E14" s="53" t="s">
        <v>156</v>
      </c>
      <c r="F14" s="50"/>
      <c r="G14" s="53" t="s">
        <v>119</v>
      </c>
    </row>
    <row r="15" spans="1:10" ht="27.6" x14ac:dyDescent="0.3">
      <c r="A15" s="50" t="s">
        <v>75</v>
      </c>
      <c r="B15" s="51">
        <v>0.6</v>
      </c>
      <c r="C15" s="52">
        <v>168</v>
      </c>
      <c r="E15" s="50" t="s">
        <v>128</v>
      </c>
      <c r="G15" s="53" t="s">
        <v>118</v>
      </c>
    </row>
    <row r="16" spans="1:10" x14ac:dyDescent="0.3">
      <c r="A16" s="50" t="s">
        <v>76</v>
      </c>
      <c r="B16" s="51">
        <v>0.8</v>
      </c>
      <c r="C16" s="52">
        <v>224</v>
      </c>
      <c r="G16" s="53" t="s">
        <v>121</v>
      </c>
    </row>
    <row r="17" spans="1:7" x14ac:dyDescent="0.3">
      <c r="A17" s="50" t="s">
        <v>77</v>
      </c>
      <c r="B17" s="51">
        <v>0.65</v>
      </c>
      <c r="C17" s="52">
        <v>182</v>
      </c>
      <c r="G17" s="53" t="s">
        <v>122</v>
      </c>
    </row>
    <row r="18" spans="1:7" x14ac:dyDescent="0.3">
      <c r="A18" s="50" t="s">
        <v>78</v>
      </c>
      <c r="B18" s="51">
        <v>0.7</v>
      </c>
      <c r="C18" s="52">
        <v>196</v>
      </c>
      <c r="E18" s="50"/>
      <c r="G18" s="53" t="s">
        <v>123</v>
      </c>
    </row>
    <row r="19" spans="1:7" x14ac:dyDescent="0.3">
      <c r="A19" s="50" t="s">
        <v>79</v>
      </c>
      <c r="B19" s="51">
        <v>1</v>
      </c>
      <c r="C19" s="52">
        <v>280</v>
      </c>
      <c r="E19" s="50"/>
    </row>
    <row r="20" spans="1:7" x14ac:dyDescent="0.3">
      <c r="A20" s="50" t="s">
        <v>81</v>
      </c>
      <c r="B20" s="51">
        <v>0.9</v>
      </c>
      <c r="C20" s="52">
        <v>252</v>
      </c>
      <c r="E20" s="46" t="s">
        <v>100</v>
      </c>
    </row>
    <row r="21" spans="1:7" x14ac:dyDescent="0.3">
      <c r="A21" s="50" t="s">
        <v>80</v>
      </c>
      <c r="B21" s="51">
        <v>0.9</v>
      </c>
      <c r="C21" s="52">
        <v>252</v>
      </c>
      <c r="E21" s="53" t="s">
        <v>143</v>
      </c>
    </row>
    <row r="22" spans="1:7" x14ac:dyDescent="0.3">
      <c r="A22" s="50" t="s">
        <v>82</v>
      </c>
      <c r="B22" s="51">
        <v>0.8</v>
      </c>
      <c r="C22" s="52">
        <v>224</v>
      </c>
      <c r="E22" s="53" t="s">
        <v>144</v>
      </c>
    </row>
    <row r="23" spans="1:7" x14ac:dyDescent="0.3">
      <c r="A23" s="50" t="s">
        <v>94</v>
      </c>
      <c r="B23" s="51">
        <v>0.3</v>
      </c>
      <c r="C23" s="52">
        <v>84</v>
      </c>
      <c r="E23" s="53" t="s">
        <v>145</v>
      </c>
    </row>
    <row r="24" spans="1:7" x14ac:dyDescent="0.3">
      <c r="A24" s="50" t="s">
        <v>95</v>
      </c>
      <c r="B24" s="51">
        <v>0.95</v>
      </c>
      <c r="C24" s="52">
        <v>266</v>
      </c>
      <c r="E24" s="53" t="s">
        <v>146</v>
      </c>
    </row>
    <row r="25" spans="1:7" x14ac:dyDescent="0.3">
      <c r="A25" s="50" t="s">
        <v>96</v>
      </c>
      <c r="B25" s="51">
        <v>0.9</v>
      </c>
      <c r="C25" s="52">
        <v>252</v>
      </c>
      <c r="E25" s="53" t="s">
        <v>147</v>
      </c>
    </row>
    <row r="26" spans="1:7" x14ac:dyDescent="0.3">
      <c r="E26" s="53" t="s">
        <v>148</v>
      </c>
    </row>
    <row r="27" spans="1:7" x14ac:dyDescent="0.3">
      <c r="E27" s="53" t="s">
        <v>149</v>
      </c>
    </row>
    <row r="28" spans="1:7" x14ac:dyDescent="0.3">
      <c r="E28" s="53" t="s">
        <v>150</v>
      </c>
    </row>
    <row r="29" spans="1:7" x14ac:dyDescent="0.3">
      <c r="E29" s="53" t="s">
        <v>151</v>
      </c>
    </row>
    <row r="30" spans="1:7" x14ac:dyDescent="0.3">
      <c r="E30" s="53" t="s">
        <v>152</v>
      </c>
    </row>
    <row r="31" spans="1:7" x14ac:dyDescent="0.3">
      <c r="E31" s="53" t="s">
        <v>153</v>
      </c>
    </row>
    <row r="32" spans="1:7" x14ac:dyDescent="0.3">
      <c r="E32" s="53" t="s">
        <v>154</v>
      </c>
    </row>
    <row r="33" spans="5:5" x14ac:dyDescent="0.3">
      <c r="E33" s="53" t="s">
        <v>130</v>
      </c>
    </row>
    <row r="34" spans="5:5" x14ac:dyDescent="0.3">
      <c r="E34" s="53" t="s">
        <v>131</v>
      </c>
    </row>
    <row r="35" spans="5:5" x14ac:dyDescent="0.3">
      <c r="E35" s="53" t="s">
        <v>132</v>
      </c>
    </row>
    <row r="36" spans="5:5" x14ac:dyDescent="0.3">
      <c r="E36" s="53" t="s">
        <v>133</v>
      </c>
    </row>
    <row r="37" spans="5:5" x14ac:dyDescent="0.3">
      <c r="E37" s="53" t="s">
        <v>134</v>
      </c>
    </row>
    <row r="38" spans="5:5" x14ac:dyDescent="0.3">
      <c r="E38" s="53" t="s">
        <v>135</v>
      </c>
    </row>
    <row r="39" spans="5:5" x14ac:dyDescent="0.3">
      <c r="E39" s="53" t="s">
        <v>141</v>
      </c>
    </row>
    <row r="40" spans="5:5" x14ac:dyDescent="0.3">
      <c r="E40" s="53" t="s">
        <v>136</v>
      </c>
    </row>
    <row r="41" spans="5:5" x14ac:dyDescent="0.3">
      <c r="E41" s="53" t="s">
        <v>137</v>
      </c>
    </row>
    <row r="42" spans="5:5" x14ac:dyDescent="0.3">
      <c r="E42" s="53" t="s">
        <v>138</v>
      </c>
    </row>
    <row r="43" spans="5:5" x14ac:dyDescent="0.3">
      <c r="E43" s="53" t="s">
        <v>139</v>
      </c>
    </row>
    <row r="44" spans="5:5" x14ac:dyDescent="0.3">
      <c r="E44" s="53" t="s">
        <v>140</v>
      </c>
    </row>
  </sheetData>
  <sheetProtection algorithmName="SHA-512" hashValue="I9Nhg+/JsX4DCRrTyRESxYt3dA6xsC8v4rkWx5eI7Lz9eyX67eTd633raA+P4B/sTKmLYdo5mpYXon28mgBnzg==" saltValue="KNMCy7ZsSJypVgt2+mpeug==" spinCount="100000" sheet="1" objects="1" scenarios="1"/>
  <mergeCells count="2">
    <mergeCell ref="A1:J1"/>
    <mergeCell ref="E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 nhan</vt:lpstr>
      <vt:lpstr>Quy doi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2026-09-30T07:53:14Z</cp:lastPrinted>
  <dcterms:created xsi:type="dcterms:W3CDTF">2026-08-01T08:50:49Z</dcterms:created>
  <dcterms:modified xsi:type="dcterms:W3CDTF">2026-10-12T09:02:49Z</dcterms:modified>
</cp:coreProperties>
</file>